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aiSha B - 日報表 (副本)\SSB - 2B (Daffodil 2B)\SSB (2B) - 大樓\SSB (2B T15) - T2\"/>
    </mc:Choice>
  </mc:AlternateContent>
  <xr:revisionPtr revIDLastSave="0" documentId="13_ncr:1_{5742B7B1-7115-4031-8458-45316BF3C8E5}" xr6:coauthVersionLast="47" xr6:coauthVersionMax="47" xr10:uidLastSave="{00000000-0000-0000-0000-000000000000}"/>
  <bookViews>
    <workbookView xWindow="14295" yWindow="0" windowWidth="14610" windowHeight="15585" tabRatio="694" firstSheet="2" activeTab="24" xr2:uid="{00000000-000D-0000-FFFF-FFFF00000000}"/>
  </bookViews>
  <sheets>
    <sheet name="1" sheetId="105" r:id="rId1"/>
    <sheet name="2" sheetId="104" r:id="rId2"/>
    <sheet name="3" sheetId="103" r:id="rId3"/>
    <sheet name="4" sheetId="102" r:id="rId4"/>
    <sheet name="5" sheetId="101" r:id="rId5"/>
    <sheet name="6" sheetId="100" r:id="rId6"/>
    <sheet name="7" sheetId="99" r:id="rId7"/>
    <sheet name="8" sheetId="98" r:id="rId8"/>
    <sheet name="9" sheetId="97" r:id="rId9"/>
    <sheet name="10" sheetId="82" r:id="rId10"/>
    <sheet name="11" sheetId="96" r:id="rId11"/>
    <sheet name="12" sheetId="92" r:id="rId12"/>
    <sheet name="13" sheetId="94" r:id="rId13"/>
    <sheet name="14" sheetId="93" r:id="rId14"/>
    <sheet name="15" sheetId="75" r:id="rId15"/>
    <sheet name="16" sheetId="76" r:id="rId16"/>
    <sheet name="17" sheetId="91" r:id="rId17"/>
    <sheet name="18" sheetId="90" r:id="rId18"/>
    <sheet name="19" sheetId="89" r:id="rId19"/>
    <sheet name="20" sheetId="85" r:id="rId20"/>
    <sheet name="21" sheetId="84" r:id="rId21"/>
    <sheet name="22" sheetId="81" r:id="rId22"/>
    <sheet name="23" sheetId="80" r:id="rId23"/>
    <sheet name="24" sheetId="77" r:id="rId24"/>
    <sheet name="25" sheetId="79" r:id="rId25"/>
    <sheet name="26" sheetId="78" r:id="rId26"/>
    <sheet name="27" sheetId="86" r:id="rId27"/>
    <sheet name="28" sheetId="87" r:id="rId28"/>
    <sheet name="29" sheetId="88" r:id="rId29"/>
    <sheet name="30" sheetId="83" r:id="rId30"/>
  </sheets>
  <definedNames>
    <definedName name="_xlnm.Print_Area" localSheetId="0">'1'!$A$1:$AD$48</definedName>
    <definedName name="_xlnm.Print_Area" localSheetId="9">'10'!$A$1:$AD$48</definedName>
    <definedName name="_xlnm.Print_Area" localSheetId="10">'11'!$A$1:$AD$48</definedName>
    <definedName name="_xlnm.Print_Area" localSheetId="11">'12'!$A$1:$AD$48</definedName>
    <definedName name="_xlnm.Print_Area" localSheetId="12">'13'!$A$1:$AD$48</definedName>
    <definedName name="_xlnm.Print_Area" localSheetId="13">'14'!$A$1:$AD$49</definedName>
    <definedName name="_xlnm.Print_Area" localSheetId="14">'15'!$A$1:$AD$48</definedName>
    <definedName name="_xlnm.Print_Area" localSheetId="15">'16'!$A$1:$AD$48</definedName>
    <definedName name="_xlnm.Print_Area" localSheetId="16">'17'!$A$1:$AD$48</definedName>
    <definedName name="_xlnm.Print_Area" localSheetId="17">'18'!$A$1:$AD$49</definedName>
    <definedName name="_xlnm.Print_Area" localSheetId="18">'19'!$A$1:$AD$48</definedName>
    <definedName name="_xlnm.Print_Area" localSheetId="1">'2'!$A$1:$AD$48</definedName>
    <definedName name="_xlnm.Print_Area" localSheetId="19">'20'!$A$1:$AD$49</definedName>
    <definedName name="_xlnm.Print_Area" localSheetId="20">'21'!$A$1:$AD$49</definedName>
    <definedName name="_xlnm.Print_Area" localSheetId="21">'22'!$A$1:$AD$50</definedName>
    <definedName name="_xlnm.Print_Area" localSheetId="22">'23'!$A$1:$AD$49</definedName>
    <definedName name="_xlnm.Print_Area" localSheetId="23">'24'!$A$1:$AD$49</definedName>
    <definedName name="_xlnm.Print_Area" localSheetId="24">'25'!$A$1:$AD$49</definedName>
    <definedName name="_xlnm.Print_Area" localSheetId="25">'26'!$A$1:$AD$50</definedName>
    <definedName name="_xlnm.Print_Area" localSheetId="26">'27'!$A$1:$AD$48</definedName>
    <definedName name="_xlnm.Print_Area" localSheetId="27">'28'!$A$1:$AD$48</definedName>
    <definedName name="_xlnm.Print_Area" localSheetId="28">'29'!$A$1:$AD$48</definedName>
    <definedName name="_xlnm.Print_Area" localSheetId="2">'3'!$A$1:$AD$48</definedName>
    <definedName name="_xlnm.Print_Area" localSheetId="29">'30'!$A$1:$AD$49</definedName>
    <definedName name="_xlnm.Print_Area" localSheetId="3">'4'!$A$1:$AD$48</definedName>
    <definedName name="_xlnm.Print_Area" localSheetId="4">'5'!$A$1:$AD$48</definedName>
    <definedName name="_xlnm.Print_Area" localSheetId="5">'6'!$A$1:$AD$48</definedName>
    <definedName name="_xlnm.Print_Area" localSheetId="6">'7'!$A$1:$AD$48</definedName>
    <definedName name="_xlnm.Print_Area" localSheetId="7">'8'!$A$1:$AD$48</definedName>
    <definedName name="_xlnm.Print_Area" localSheetId="8">'9'!$A$1:$AD$48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9" i="83" l="1"/>
  <c r="F49" i="83"/>
  <c r="AA1" i="88"/>
  <c r="AA1" i="87"/>
  <c r="AA1" i="86"/>
  <c r="AA1" i="78"/>
  <c r="AA1" i="79"/>
  <c r="AA1" i="77"/>
  <c r="AA1" i="80"/>
  <c r="AA1" i="81"/>
  <c r="AA1" i="84"/>
  <c r="AA1" i="85"/>
  <c r="AA1" i="89"/>
  <c r="AA1" i="90"/>
  <c r="AA1" i="91"/>
  <c r="AA1" i="76"/>
  <c r="AA1" i="75"/>
  <c r="AA1" i="93"/>
  <c r="AA1" i="94"/>
  <c r="AA1" i="92"/>
  <c r="AA1" i="96"/>
  <c r="AA1" i="82"/>
  <c r="AA1" i="98"/>
  <c r="AA1" i="97"/>
  <c r="AA1" i="99"/>
  <c r="AA1" i="100"/>
  <c r="AA1" i="101"/>
  <c r="AA1" i="102"/>
  <c r="AA1" i="103"/>
  <c r="AA1" i="104"/>
  <c r="AA1" i="105"/>
  <c r="AA1" i="83"/>
  <c r="N48" i="88" l="1"/>
  <c r="F48" i="88"/>
  <c r="N48" i="87"/>
  <c r="F48" i="87"/>
  <c r="N48" i="86"/>
  <c r="F48" i="86"/>
  <c r="N49" i="78"/>
  <c r="F49" i="78"/>
  <c r="N48" i="79"/>
  <c r="F48" i="79"/>
  <c r="N48" i="77"/>
  <c r="F48" i="77"/>
  <c r="N48" i="80"/>
  <c r="F48" i="80"/>
  <c r="N49" i="81"/>
  <c r="F49" i="81"/>
  <c r="N48" i="84"/>
  <c r="F48" i="84"/>
  <c r="N48" i="85"/>
  <c r="F48" i="85"/>
  <c r="N48" i="89"/>
  <c r="F48" i="89"/>
  <c r="N49" i="90"/>
  <c r="F49" i="90"/>
  <c r="N48" i="91"/>
  <c r="F48" i="91"/>
  <c r="N48" i="76"/>
  <c r="F48" i="76"/>
  <c r="N48" i="75"/>
  <c r="F48" i="75"/>
  <c r="N49" i="93"/>
  <c r="F49" i="93"/>
  <c r="N48" i="94"/>
  <c r="F48" i="94"/>
  <c r="N48" i="92"/>
  <c r="F48" i="92"/>
  <c r="N48" i="96"/>
  <c r="F48" i="96"/>
  <c r="N48" i="82"/>
  <c r="F48" i="82"/>
  <c r="N48" i="97"/>
  <c r="F48" i="97"/>
  <c r="N48" i="98"/>
  <c r="F48" i="98"/>
  <c r="N48" i="99"/>
  <c r="F48" i="99"/>
  <c r="N48" i="100"/>
  <c r="F48" i="100"/>
  <c r="N48" i="101"/>
  <c r="F48" i="101"/>
  <c r="N48" i="102"/>
  <c r="F48" i="102"/>
  <c r="N48" i="103"/>
  <c r="F48" i="103"/>
  <c r="N48" i="104"/>
  <c r="F48" i="104"/>
  <c r="N48" i="105"/>
  <c r="F48" i="105"/>
  <c r="S9" i="105" l="1"/>
  <c r="Q9" i="105"/>
  <c r="AB5" i="105"/>
  <c r="S9" i="104"/>
  <c r="Q9" i="104"/>
  <c r="AB5" i="104"/>
  <c r="S9" i="103"/>
  <c r="Q9" i="103"/>
  <c r="AB5" i="103"/>
  <c r="S9" i="102"/>
  <c r="Q9" i="102"/>
  <c r="AB5" i="102"/>
  <c r="S9" i="101"/>
  <c r="Q9" i="101"/>
  <c r="AB5" i="101"/>
  <c r="S9" i="100"/>
  <c r="Q9" i="100"/>
  <c r="AB5" i="100"/>
  <c r="S9" i="99"/>
  <c r="Q9" i="99"/>
  <c r="AB5" i="99"/>
  <c r="S9" i="98"/>
  <c r="Q9" i="98"/>
  <c r="AB5" i="98"/>
  <c r="S9" i="97"/>
  <c r="Q9" i="97"/>
  <c r="AB5" i="97"/>
  <c r="S9" i="96"/>
  <c r="Q9" i="96"/>
  <c r="AB5" i="96"/>
  <c r="S9" i="94"/>
  <c r="Q9" i="94"/>
  <c r="AB5" i="94"/>
  <c r="S9" i="93"/>
  <c r="Q9" i="93"/>
  <c r="AB5" i="93"/>
  <c r="S9" i="92"/>
  <c r="Q9" i="92"/>
  <c r="AB5" i="92"/>
  <c r="S9" i="91"/>
  <c r="Q9" i="91"/>
  <c r="AB5" i="91"/>
  <c r="S9" i="90"/>
  <c r="Q9" i="90"/>
  <c r="AB5" i="90"/>
  <c r="S9" i="89"/>
  <c r="Q9" i="89"/>
  <c r="AB5" i="89"/>
  <c r="S9" i="88"/>
  <c r="Q9" i="88"/>
  <c r="AB5" i="88"/>
  <c r="S9" i="87"/>
  <c r="Q9" i="87"/>
  <c r="AB5" i="87"/>
  <c r="S9" i="86"/>
  <c r="Q9" i="86"/>
  <c r="AB5" i="86"/>
  <c r="S9" i="85"/>
  <c r="Q9" i="85"/>
  <c r="AB5" i="85"/>
  <c r="S9" i="84"/>
  <c r="Q9" i="84"/>
  <c r="AB5" i="84"/>
  <c r="S9" i="83"/>
  <c r="Q9" i="83"/>
  <c r="AB5" i="83"/>
  <c r="S9" i="82"/>
  <c r="Q9" i="82"/>
  <c r="AB5" i="82"/>
  <c r="S9" i="81"/>
  <c r="Q9" i="81"/>
  <c r="AB5" i="81"/>
  <c r="S9" i="80"/>
  <c r="Q9" i="80"/>
  <c r="AB5" i="80"/>
  <c r="S9" i="79"/>
  <c r="Q9" i="79"/>
  <c r="AB5" i="79"/>
  <c r="S9" i="78"/>
  <c r="Q9" i="78"/>
  <c r="AB5" i="78"/>
  <c r="S9" i="77"/>
  <c r="Q9" i="77"/>
  <c r="AB5" i="77"/>
  <c r="S9" i="76"/>
  <c r="Q9" i="76"/>
  <c r="AB5" i="76"/>
  <c r="S9" i="75"/>
  <c r="Q9" i="75"/>
  <c r="AB5" i="75"/>
</calcChain>
</file>

<file path=xl/sharedStrings.xml><?xml version="1.0" encoding="utf-8"?>
<sst xmlns="http://schemas.openxmlformats.org/spreadsheetml/2006/main" count="4975" uniqueCount="427">
  <si>
    <t>編號：</t>
  </si>
  <si>
    <t>第</t>
  </si>
  <si>
    <t>天</t>
  </si>
  <si>
    <t>天氣：</t>
  </si>
  <si>
    <t>上午：</t>
  </si>
  <si>
    <t>下午：</t>
  </si>
  <si>
    <t>日期：</t>
  </si>
  <si>
    <t>職別</t>
  </si>
  <si>
    <t>職員</t>
  </si>
  <si>
    <r>
      <t>平水</t>
    </r>
    <r>
      <rPr>
        <sz val="10"/>
        <rFont val="Arial"/>
        <family val="2"/>
      </rPr>
      <t xml:space="preserve"> / </t>
    </r>
    <r>
      <rPr>
        <sz val="10"/>
        <rFont val="細明體"/>
        <family val="3"/>
        <charset val="136"/>
      </rPr>
      <t>平什</t>
    </r>
  </si>
  <si>
    <t>男女什工</t>
  </si>
  <si>
    <t>看更</t>
  </si>
  <si>
    <t>內容</t>
  </si>
  <si>
    <t>項目</t>
  </si>
  <si>
    <t>正班</t>
  </si>
  <si>
    <t>加班</t>
  </si>
  <si>
    <t>加班超過半工計</t>
    <phoneticPr fontId="2" type="noConversion"/>
  </si>
  <si>
    <t>工程總類</t>
  </si>
  <si>
    <t>判頭</t>
  </si>
  <si>
    <t>人數</t>
  </si>
  <si>
    <t>進度簡況</t>
  </si>
  <si>
    <t>管工意見</t>
  </si>
  <si>
    <t>名</t>
  </si>
  <si>
    <t>落石矢</t>
    <phoneticPr fontId="2" type="noConversion"/>
  </si>
  <si>
    <t>製表：</t>
    <phoneticPr fontId="9" type="noConversion"/>
  </si>
  <si>
    <t xml:space="preserve"> </t>
  </si>
  <si>
    <t>駿 輝 建 築 有 限 公 司</t>
    <phoneticPr fontId="2" type="noConversion"/>
  </si>
  <si>
    <t>總計</t>
    <phoneticPr fontId="1" type="noConversion"/>
  </si>
  <si>
    <t>判頭</t>
    <phoneticPr fontId="1" type="noConversion"/>
  </si>
  <si>
    <t>公司</t>
    <phoneticPr fontId="1" type="noConversion"/>
  </si>
  <si>
    <r>
      <t>釘</t>
    </r>
    <r>
      <rPr>
        <sz val="9"/>
        <rFont val="Arial"/>
        <family val="2"/>
      </rPr>
      <t xml:space="preserve">  </t>
    </r>
    <r>
      <rPr>
        <sz val="9"/>
        <rFont val="新細明體"/>
        <family val="1"/>
        <charset val="136"/>
      </rPr>
      <t>板</t>
    </r>
    <phoneticPr fontId="12" type="noConversion"/>
  </si>
  <si>
    <r>
      <t>扎</t>
    </r>
    <r>
      <rPr>
        <sz val="9"/>
        <rFont val="Arial"/>
        <family val="2"/>
      </rPr>
      <t xml:space="preserve">  </t>
    </r>
    <r>
      <rPr>
        <sz val="9"/>
        <rFont val="新細明體"/>
        <family val="1"/>
        <charset val="136"/>
      </rPr>
      <t>鐵</t>
    </r>
    <phoneticPr fontId="2" type="noConversion"/>
  </si>
  <si>
    <r>
      <t>撘</t>
    </r>
    <r>
      <rPr>
        <sz val="9"/>
        <rFont val="Arial"/>
        <family val="2"/>
      </rPr>
      <t xml:space="preserve">  </t>
    </r>
    <r>
      <rPr>
        <sz val="9"/>
        <rFont val="新細明體"/>
        <family val="1"/>
        <charset val="136"/>
      </rPr>
      <t>棚</t>
    </r>
    <phoneticPr fontId="2" type="noConversion"/>
  </si>
  <si>
    <r>
      <t>水</t>
    </r>
    <r>
      <rPr>
        <sz val="9"/>
        <rFont val="Arial"/>
        <family val="2"/>
      </rPr>
      <t xml:space="preserve">  </t>
    </r>
    <r>
      <rPr>
        <sz val="9"/>
        <rFont val="細明體"/>
        <family val="3"/>
        <charset val="136"/>
      </rPr>
      <t>喉</t>
    </r>
    <phoneticPr fontId="2" type="noConversion"/>
  </si>
  <si>
    <r>
      <t>煤</t>
    </r>
    <r>
      <rPr>
        <sz val="9"/>
        <rFont val="Arial"/>
        <family val="2"/>
      </rPr>
      <t xml:space="preserve">  </t>
    </r>
    <r>
      <rPr>
        <sz val="9"/>
        <rFont val="細明體"/>
        <family val="3"/>
        <charset val="136"/>
      </rPr>
      <t>氣</t>
    </r>
    <phoneticPr fontId="2" type="noConversion"/>
  </si>
  <si>
    <r>
      <t>其</t>
    </r>
    <r>
      <rPr>
        <sz val="9"/>
        <rFont val="Arial"/>
        <family val="2"/>
      </rPr>
      <t xml:space="preserve">   </t>
    </r>
    <r>
      <rPr>
        <sz val="9"/>
        <rFont val="細明體"/>
        <family val="3"/>
        <charset val="136"/>
      </rPr>
      <t>他</t>
    </r>
    <phoneticPr fontId="2" type="noConversion"/>
  </si>
  <si>
    <r>
      <t>鐵</t>
    </r>
    <r>
      <rPr>
        <sz val="9"/>
        <rFont val="Arial"/>
        <family val="2"/>
      </rPr>
      <t xml:space="preserve">  </t>
    </r>
    <r>
      <rPr>
        <sz val="9"/>
        <rFont val="細明體"/>
        <family val="3"/>
        <charset val="136"/>
      </rPr>
      <t>器</t>
    </r>
    <phoneticPr fontId="2" type="noConversion"/>
  </si>
  <si>
    <r>
      <t>防</t>
    </r>
    <r>
      <rPr>
        <sz val="9"/>
        <rFont val="Arial"/>
        <family val="2"/>
      </rPr>
      <t xml:space="preserve">  </t>
    </r>
    <r>
      <rPr>
        <sz val="9"/>
        <rFont val="細明體"/>
        <family val="3"/>
        <charset val="136"/>
      </rPr>
      <t>水</t>
    </r>
    <phoneticPr fontId="2" type="noConversion"/>
  </si>
  <si>
    <t>消 防</t>
    <phoneticPr fontId="1" type="noConversion"/>
  </si>
  <si>
    <t>時間、職別、人數及原因</t>
    <phoneticPr fontId="1" type="noConversion"/>
  </si>
  <si>
    <t>總管：</t>
    <phoneticPr fontId="1" type="noConversion"/>
  </si>
  <si>
    <t>浩洲</t>
    <phoneticPr fontId="1" type="noConversion"/>
  </si>
  <si>
    <t>判墨</t>
    <phoneticPr fontId="1" type="noConversion"/>
  </si>
  <si>
    <t>什項</t>
    <phoneticPr fontId="1" type="noConversion"/>
  </si>
  <si>
    <t>力佳</t>
    <phoneticPr fontId="1" type="noConversion"/>
  </si>
  <si>
    <t>鋁模</t>
    <phoneticPr fontId="2" type="noConversion"/>
  </si>
  <si>
    <t>李悅森</t>
    <phoneticPr fontId="1" type="noConversion"/>
  </si>
  <si>
    <t xml:space="preserve">宏業 </t>
    <phoneticPr fontId="1" type="noConversion"/>
  </si>
  <si>
    <t>玻璃欄河</t>
    <phoneticPr fontId="2" type="noConversion"/>
  </si>
  <si>
    <t xml:space="preserve">東淦 </t>
  </si>
  <si>
    <t>榮發</t>
    <phoneticPr fontId="1" type="noConversion"/>
  </si>
  <si>
    <t>創豐</t>
    <phoneticPr fontId="1" type="noConversion"/>
  </si>
  <si>
    <t>星滿</t>
    <phoneticPr fontId="1" type="noConversion"/>
  </si>
  <si>
    <t xml:space="preserve">郭耀輝 </t>
    <phoneticPr fontId="2" type="noConversion"/>
  </si>
  <si>
    <t>名</t>
    <phoneticPr fontId="1" type="noConversion"/>
  </si>
  <si>
    <t>森華</t>
    <phoneticPr fontId="1" type="noConversion"/>
  </si>
  <si>
    <t>匯寶</t>
  </si>
  <si>
    <t>玻璃幕牆</t>
    <phoneticPr fontId="1" type="noConversion"/>
  </si>
  <si>
    <t>YKK</t>
    <phoneticPr fontId="1" type="noConversion"/>
  </si>
  <si>
    <t>電 氣</t>
    <phoneticPr fontId="2" type="noConversion"/>
  </si>
  <si>
    <t>新鴻安</t>
    <phoneticPr fontId="1" type="noConversion"/>
  </si>
  <si>
    <t>預制間牆板</t>
    <phoneticPr fontId="2" type="noConversion"/>
  </si>
  <si>
    <t>標特美</t>
    <phoneticPr fontId="1" type="noConversion"/>
  </si>
  <si>
    <t>聯安</t>
    <phoneticPr fontId="1" type="noConversion"/>
  </si>
  <si>
    <t>泥水</t>
    <phoneticPr fontId="1" type="noConversion"/>
  </si>
  <si>
    <t>鋁窗</t>
    <phoneticPr fontId="2" type="noConversion"/>
  </si>
  <si>
    <t>樓 宇 設 備</t>
    <phoneticPr fontId="1" type="noConversion"/>
  </si>
  <si>
    <t>萬通</t>
    <phoneticPr fontId="1" type="noConversion"/>
  </si>
  <si>
    <t>華昇</t>
    <phoneticPr fontId="1" type="noConversion"/>
  </si>
  <si>
    <t>建聯</t>
    <phoneticPr fontId="1" type="noConversion"/>
  </si>
  <si>
    <t>管工：</t>
  </si>
  <si>
    <t xml:space="preserve">大 冷 </t>
    <phoneticPr fontId="2" type="noConversion"/>
  </si>
  <si>
    <t xml:space="preserve">細 冷 </t>
    <phoneticPr fontId="2" type="noConversion"/>
  </si>
  <si>
    <t xml:space="preserve">佳源 </t>
    <phoneticPr fontId="1" type="noConversion"/>
  </si>
  <si>
    <t>坤記</t>
    <phoneticPr fontId="1" type="noConversion"/>
  </si>
  <si>
    <t>鐵 器</t>
    <phoneticPr fontId="1" type="noConversion"/>
  </si>
  <si>
    <t>旭輝</t>
    <phoneticPr fontId="1" type="noConversion"/>
  </si>
  <si>
    <t>浴屏</t>
    <phoneticPr fontId="1" type="noConversion"/>
  </si>
  <si>
    <t>門框</t>
    <phoneticPr fontId="1" type="noConversion"/>
  </si>
  <si>
    <t>合記</t>
    <phoneticPr fontId="1" type="noConversion"/>
  </si>
  <si>
    <t>新輝木制品</t>
    <phoneticPr fontId="1" type="noConversion"/>
  </si>
  <si>
    <t>假天花</t>
    <phoneticPr fontId="1" type="noConversion"/>
  </si>
  <si>
    <t>海聯</t>
    <phoneticPr fontId="1" type="noConversion"/>
  </si>
  <si>
    <t>油漆</t>
    <phoneticPr fontId="1" type="noConversion"/>
  </si>
  <si>
    <t>耐用</t>
    <phoneticPr fontId="1" type="noConversion"/>
  </si>
  <si>
    <t>防火板</t>
    <phoneticPr fontId="2" type="noConversion"/>
  </si>
  <si>
    <t>恒光</t>
    <phoneticPr fontId="1" type="noConversion"/>
  </si>
  <si>
    <t>力安</t>
    <phoneticPr fontId="1" type="noConversion"/>
  </si>
  <si>
    <t>弱 電</t>
    <phoneticPr fontId="2" type="noConversion"/>
  </si>
  <si>
    <t>數碼通</t>
    <phoneticPr fontId="1" type="noConversion"/>
  </si>
  <si>
    <t>電訊商</t>
    <phoneticPr fontId="1" type="noConversion"/>
  </si>
  <si>
    <t>勝良記</t>
    <phoneticPr fontId="1" type="noConversion"/>
  </si>
  <si>
    <t>新誠</t>
    <phoneticPr fontId="1" type="noConversion"/>
  </si>
  <si>
    <t>西沙 (工地 B) -  2B 大樓T15地盤工作日報表</t>
    <phoneticPr fontId="1" type="noConversion"/>
  </si>
  <si>
    <t>海城</t>
    <phoneticPr fontId="1" type="noConversion"/>
  </si>
  <si>
    <t>燈帶</t>
    <phoneticPr fontId="2" type="noConversion"/>
  </si>
  <si>
    <t>恒裕</t>
    <phoneticPr fontId="2" type="noConversion"/>
  </si>
  <si>
    <t>墨斗</t>
    <phoneticPr fontId="1" type="noConversion"/>
  </si>
  <si>
    <t>光明</t>
    <phoneticPr fontId="1" type="noConversion"/>
  </si>
  <si>
    <t>廚櫃</t>
    <phoneticPr fontId="1" type="noConversion"/>
  </si>
  <si>
    <t>廣聯</t>
    <phoneticPr fontId="1" type="noConversion"/>
  </si>
  <si>
    <t>陰</t>
  </si>
  <si>
    <t>劉詩怡</t>
  </si>
  <si>
    <t>邱兆偉</t>
    <phoneticPr fontId="1" type="noConversion"/>
  </si>
  <si>
    <t>雲石</t>
    <phoneticPr fontId="1" type="noConversion"/>
  </si>
  <si>
    <t>托高</t>
    <phoneticPr fontId="1" type="noConversion"/>
  </si>
  <si>
    <t>R/F 盪樓梯 3人
33/F 清場2人
32/F 廚房牆身瓦 2人
30/F 地台瓦2人
29/F 廁所牆身瓦1人
28/F 廁所牆身瓦2人
27/F 垃圾房牆身瓦 1人
26/F 廁所牆身瓦 1人</t>
    <phoneticPr fontId="1" type="noConversion"/>
  </si>
  <si>
    <t>22/F 走廊牆身瓦 1人
22/F 廁所地台瓦 1人
15/F執平企直1人
12/F執平企直2人 
3/F 露台批冷氣機躉 1人
1/F 剷地台2人
1/F 廁所廚房打針 2人
1/F 批牆身泥底1人</t>
    <phoneticPr fontId="1" type="noConversion"/>
  </si>
  <si>
    <t>29/F  垃圾房隔氣1人；26/F pipe duct房封窿 1人；23/F 廁所駁喉 1人</t>
    <phoneticPr fontId="1" type="noConversion"/>
  </si>
  <si>
    <t>29/F MCB 穿線 2人；29/F 走廊穿線 2人；22F 清掣箱駁線 1人</t>
    <phoneticPr fontId="1" type="noConversion"/>
  </si>
  <si>
    <t>21/F 黐紙帶 1人</t>
    <phoneticPr fontId="1" type="noConversion"/>
  </si>
  <si>
    <t>18/F 廁所燈帶1人；15/F 裝水櫃1人；8/F 裝水櫃1人；7/F 走廊底框4人</t>
    <phoneticPr fontId="1" type="noConversion"/>
  </si>
  <si>
    <r>
      <t>26/F 企身板1人；25/F 裝企身骨1人；21/F 底板2人；</t>
    </r>
    <r>
      <rPr>
        <sz val="9"/>
        <rFont val="Microsoft YaHei"/>
        <family val="3"/>
        <charset val="134"/>
      </rPr>
      <t>2</t>
    </r>
    <r>
      <rPr>
        <sz val="9"/>
        <rFont val="細明體"/>
        <family val="3"/>
        <charset val="136"/>
      </rPr>
      <t>1/F 廁所架2人
16/F 廁所底板 1人；12/F 廚房骨架 2人；7/F 裝廚房骨架 1人</t>
    </r>
    <phoneticPr fontId="1" type="noConversion"/>
  </si>
  <si>
    <t>18/F廚位唧膠1人；18/F廁所燈兜批灰1人；11/F製位省油1人
10/F冷氣機位翻灰1人；9/F墻身批灰1人+冷氣機位省油1人
8/F墻身批灰1人+石膏板批灰1人；3/F廚廁翻灰1人</t>
    <phoneticPr fontId="1" type="noConversion"/>
  </si>
  <si>
    <t>17/F 安裝系統 2人；G1/F 走廊駁喉 2人</t>
    <phoneticPr fontId="1" type="noConversion"/>
  </si>
  <si>
    <t>9/F 拆垃圾槽 2人</t>
    <phoneticPr fontId="1" type="noConversion"/>
  </si>
  <si>
    <t>3/F 駁線1人</t>
    <phoneticPr fontId="1" type="noConversion"/>
  </si>
  <si>
    <t>3/F 開線 3人</t>
    <phoneticPr fontId="1" type="noConversion"/>
  </si>
  <si>
    <r>
      <rPr>
        <b/>
        <sz val="10"/>
        <color rgb="FF000000"/>
        <rFont val="微軟正黑體"/>
        <family val="2"/>
        <charset val="136"/>
      </rPr>
      <t>吊船外牆砌瓦</t>
    </r>
    <r>
      <rPr>
        <b/>
        <sz val="10"/>
        <color indexed="8"/>
        <rFont val="Arial"/>
        <family val="2"/>
        <charset val="136"/>
      </rPr>
      <t>2</t>
    </r>
    <r>
      <rPr>
        <b/>
        <sz val="10"/>
        <color rgb="FF000000"/>
        <rFont val="微軟正黑體"/>
        <family val="2"/>
        <charset val="136"/>
      </rPr>
      <t>人</t>
    </r>
    <phoneticPr fontId="1" type="noConversion"/>
  </si>
  <si>
    <t>27/F 廁所地台瓦 1人
26/F 走廊牆身瓦 1人
22/F 露台地台瓦1人
17/F 塞門框1人
16/F執平企直3人
15/F墻身批底+執滑面2人
15/F 垃圾房地台瓦1人
6/F 幕牆連走廊機房基仔批面2人</t>
    <phoneticPr fontId="1" type="noConversion"/>
  </si>
  <si>
    <t>雨</t>
  </si>
  <si>
    <t>33/F 盪樓梯3人
33/F 自流平1人
32/F 廚房地台瓦1人
32/F 廳地台瓦1人 
31/F 廁所牆身打針2人
31/F 清場2人
31/F 廁所牆身瓦2人
30/F 廁所牆身瓦2人</t>
    <phoneticPr fontId="1" type="noConversion"/>
  </si>
  <si>
    <t>UR/F 泵房駁喉1人</t>
    <phoneticPr fontId="1" type="noConversion"/>
  </si>
  <si>
    <t>30/F 單位打企身骨2人；27/F 單位裝底板2人；26/F 企身板 1人
23/F 廁所裝grg 2人；20/F 走廊裝骨2人；18/F 走廊裝骨2人
11/F 走廊裝骨2人；6/F 走廊底板 2人；2 走廊裝骨1人</t>
    <phoneticPr fontId="1" type="noConversion"/>
  </si>
  <si>
    <t>R/F 電制房穿線2人；16/F 單位MCB穿線2人</t>
    <phoneticPr fontId="1" type="noConversion"/>
  </si>
  <si>
    <t>10/F 走廊底骨1人；9/F 走廊底框4人</t>
    <phoneticPr fontId="1" type="noConversion"/>
  </si>
  <si>
    <t>22/F燈兜翻灰1人；20/F製位批灰1人；19/F製位翻灰1人；5/F廚廁省油1人
12/F批灰1人+廚廁落紙帶1人；11/F批灰1人；2/F板房批灰1人+執灰1人</t>
    <phoneticPr fontId="1" type="noConversion"/>
  </si>
  <si>
    <t>10/F 駁線1人</t>
    <phoneticPr fontId="1" type="noConversion"/>
  </si>
  <si>
    <t>35/F 開線 3人</t>
    <phoneticPr fontId="1" type="noConversion"/>
  </si>
  <si>
    <t>16/F 樓梯扶手2人</t>
    <phoneticPr fontId="1" type="noConversion"/>
  </si>
  <si>
    <t>31/F 垃圾糟頂板2人</t>
    <phoneticPr fontId="1" type="noConversion"/>
  </si>
  <si>
    <t>30/F 裝櫃2人</t>
    <phoneticPr fontId="1" type="noConversion"/>
  </si>
  <si>
    <t>32/F 走廊防火板4人</t>
    <phoneticPr fontId="1" type="noConversion"/>
  </si>
  <si>
    <t>23/F  裝E,F單位狗窿窗1人；20/F 裝趟門門玉2人</t>
    <phoneticPr fontId="1" type="noConversion"/>
  </si>
  <si>
    <t>2/F 省油2人;16/F 批灰 2人;11/F 批灰 1人</t>
    <phoneticPr fontId="1" type="noConversion"/>
  </si>
  <si>
    <t>勝達</t>
    <phoneticPr fontId="1" type="noConversion"/>
  </si>
  <si>
    <t>2/F 安裝窗台石4人</t>
    <phoneticPr fontId="1" type="noConversion"/>
  </si>
  <si>
    <t>上料 3人
33/F 廳地台瓦 1人
28/F 廁所地台瓦 1人
21/F 批水櫃躉3人
21/F 露台地台瓦 1人
18/F 執平企直 1人
17/F 盪渠 1人
16/F 執平企直 2人
11/F 批機電房基仔及窗台雲石基仔 2人</t>
    <phoneticPr fontId="1" type="noConversion"/>
  </si>
  <si>
    <t>28/F 企身天花板 1人;20/F 走廊天花骨 1人</t>
    <phoneticPr fontId="1" type="noConversion"/>
  </si>
  <si>
    <t>31/F 廁所地台 、33/F 走廊牆身 墨線 2人</t>
    <phoneticPr fontId="1" type="noConversion"/>
  </si>
  <si>
    <t>32/F 撕幕牆保護1人</t>
    <phoneticPr fontId="1" type="noConversion"/>
  </si>
  <si>
    <t>23/F  裝E,F單位狗窿窗1人;20/F 裝趟門門玉2人</t>
    <phoneticPr fontId="1" type="noConversion"/>
  </si>
  <si>
    <t>1/F 走廊防火板4人</t>
    <phoneticPr fontId="1" type="noConversion"/>
  </si>
  <si>
    <t>29/F 垃圾糟位打CJ 1人</t>
    <phoneticPr fontId="1" type="noConversion"/>
  </si>
  <si>
    <t>18/F 樓梯扶手2人</t>
    <phoneticPr fontId="1" type="noConversion"/>
  </si>
  <si>
    <t xml:space="preserve">22/F燈兜翻灰1人;20/F製位批灰1人;19/F製位翻灰1人;5/F廚廁省油1人
12/F批灰1人+廚廁落紙帶1人;11/F批灰1人;2/F板房批灰1人+執灰1人 </t>
    <phoneticPr fontId="1" type="noConversion"/>
  </si>
  <si>
    <t>10/F 走廊底骨1人;9/F 走廊底框4人</t>
    <phoneticPr fontId="1" type="noConversion"/>
  </si>
  <si>
    <t>R/F 電制房穿線2人;16/F 單位MCB穿線2人</t>
    <phoneticPr fontId="1" type="noConversion"/>
  </si>
  <si>
    <t xml:space="preserve">33/F 自流平1人
33/F 廳地台瓦2人 
32/F垃圾房位砌磚1人
32/F 廁所牆身打針2人
31/F 清場2人
31/F 廁所牆身瓦2人
30/F 廁所牆身瓦2人
29/F 走廊批滑面2人
</t>
    <phoneticPr fontId="1" type="noConversion"/>
  </si>
  <si>
    <t>27/F 廁所地台瓦 1人
26/F 走廊牆身瓦 1人
22/F 露台地台瓦1人
17/F 塞門框1人
16/F執平企直3人
15/F墻身批底+執滑面2人
15/F 垃圾房地台瓦1人
7/F 幕牆連走廊機房基仔批面2人
1/F 廚房牆身瓦2人</t>
    <phoneticPr fontId="1" type="noConversion"/>
  </si>
  <si>
    <t>28/F 裝櫃2人</t>
    <phoneticPr fontId="1" type="noConversion"/>
  </si>
  <si>
    <t>R/F 天面洗水缸2人</t>
    <phoneticPr fontId="1" type="noConversion"/>
  </si>
  <si>
    <t>29/F 開線 3人</t>
    <phoneticPr fontId="1" type="noConversion"/>
  </si>
  <si>
    <t>G1 拆垃圾糟2人</t>
    <phoneticPr fontId="1" type="noConversion"/>
  </si>
  <si>
    <t>17/F 安裝系統 2人</t>
    <phoneticPr fontId="1" type="noConversion"/>
  </si>
  <si>
    <t>16/F 單位穿線2人</t>
    <phoneticPr fontId="1" type="noConversion"/>
  </si>
  <si>
    <t xml:space="preserve">26/F 廁所地台瓦 1人
26/F 走廊牆身瓦 1人
23/F 露台地台瓦1人
17/F 塞門框1人
16/F執平企直1人
15/F 垃圾房地台瓦1人
15/F執平企直1人
15/F批底2人
2/F幕墻基仔包角1人 </t>
    <phoneticPr fontId="1" type="noConversion"/>
  </si>
  <si>
    <t>R/F 露台落石屎3人
33/F 自流平1人
32/F 地台瓦2人 
31/F 廁所牆身打針2人
31/F 清場2人
31/F 廁所牆身瓦2人
30/F 廁所牆身瓦2人
29/F 打餅1人
27/F 盪樓梯3人</t>
    <phoneticPr fontId="1" type="noConversion"/>
  </si>
  <si>
    <t>30/F 打企身骨2人;26/F 企身板 1人;19/F 廁所骨架1人
9/F 走廊底板 2人;7/F 走廊低板1人</t>
    <phoneticPr fontId="1" type="noConversion"/>
  </si>
  <si>
    <t>18/F 廁所燈帶1人;15/F 裝水櫃 1人;8/F 裝水櫃 1人;7/F 走廊底框4人</t>
    <phoneticPr fontId="1" type="noConversion"/>
  </si>
  <si>
    <t xml:space="preserve">21/F廁所燈兜批灰1人;19/F製位批灰1人;16/F落紙帶1人
11/F批灰1人;10/F批灰1人;6/F廚廁省油1人 </t>
    <phoneticPr fontId="1" type="noConversion"/>
  </si>
  <si>
    <t>26/F 廁所地台瓦 1人
23/F 走廊牆身瓦 1人
21/F 露台地台瓦1人
16/F執平企直1人
15/F執平企直1人
12/F批滑面2人
10/F 垃圾房地台瓦1人
2/F幕墻基仔包角+收口1人 
G2 剷地台2人</t>
    <phoneticPr fontId="1" type="noConversion"/>
  </si>
  <si>
    <t>R/F 露台舖板1人
33/F 廚房牆身瓦 2人
32/F 地台瓦2人 
31/F 廁所牆身打針2人
31/F 清場2人
31/F 廁所牆身瓦2人
30/F 廁所牆身瓦2人
30/F 盪樓梯3人
27/F 盪走廊地台</t>
    <phoneticPr fontId="1" type="noConversion"/>
  </si>
  <si>
    <t>12/F 樓梯扶手2人</t>
    <phoneticPr fontId="1" type="noConversion"/>
  </si>
  <si>
    <t>23/F 洗走廊牆身瓦1人;R/F 天面洗水缸2人</t>
    <phoneticPr fontId="1" type="noConversion"/>
  </si>
  <si>
    <t>35/F 裝門框2人</t>
    <phoneticPr fontId="1" type="noConversion"/>
  </si>
  <si>
    <t>吊船</t>
    <phoneticPr fontId="1" type="noConversion"/>
  </si>
  <si>
    <t>益美</t>
    <phoneticPr fontId="1" type="noConversion"/>
  </si>
  <si>
    <t>R/F  維修吊船3人</t>
    <phoneticPr fontId="1" type="noConversion"/>
  </si>
  <si>
    <t>18/F 廁所燈帶1人；15/F 裝水櫃 1人；8/F 裝水櫃 1人；7/F 走廊底框4人</t>
    <phoneticPr fontId="1" type="noConversion"/>
  </si>
  <si>
    <t>26/F 企身板 1人；20/F 廁所底板 2人；19/F 廁所骨架1人
9/F 走廊底板 2人；7/F 走廊低板1人</t>
    <phoneticPr fontId="1" type="noConversion"/>
  </si>
  <si>
    <t>19/F 電制房穿線1人；18F 走廊穿線 2人</t>
    <phoneticPr fontId="1" type="noConversion"/>
  </si>
  <si>
    <t xml:space="preserve">上料4人
35/F 釘板1人
33/F 廁所泥底打針2人
32/F 廁所牆身瓦2人
31/F 落露台石屎3人
30/F 廁所地台瓦1人
29/F 走廊牆身瓦1人
28/F 垃圾房地台瓦1人
26/F 廁所水櫃批躉 1人
</t>
    <phoneticPr fontId="1" type="noConversion"/>
  </si>
  <si>
    <t>25/F 露台瓦1人
23/F 清場2人
22/F 走廊批基仔2人
18/F執平企直3人
16/F批底1人 
10/F 自流平磨地台2人
9/F 廁所去水掃口 1人
1/F 廳地台瓦 1人
G2/F 自流平 1人
G2/F 廚房牆身瓦2人</t>
    <phoneticPr fontId="1" type="noConversion"/>
  </si>
  <si>
    <t>19/F 樓梯扶手1人</t>
    <phoneticPr fontId="1" type="noConversion"/>
  </si>
  <si>
    <t>10/F 廚房台面石安裝1人</t>
    <phoneticPr fontId="1" type="noConversion"/>
  </si>
  <si>
    <t>7/F 垃圾房風槽2人</t>
    <phoneticPr fontId="1" type="noConversion"/>
  </si>
  <si>
    <t>2/F 裝掣面1人</t>
    <phoneticPr fontId="1" type="noConversion"/>
  </si>
  <si>
    <t>2/F 批露台基仔2人</t>
    <phoneticPr fontId="1" type="noConversion"/>
  </si>
  <si>
    <t>振源</t>
    <phoneticPr fontId="1" type="noConversion"/>
  </si>
  <si>
    <t>佳源</t>
    <phoneticPr fontId="1" type="noConversion"/>
  </si>
  <si>
    <t>R/F  開線3人</t>
    <phoneticPr fontId="1" type="noConversion"/>
  </si>
  <si>
    <t>臨吊A單位執紙板石2人 ;1/F 撒沙仔1人</t>
    <phoneticPr fontId="1" type="noConversion"/>
  </si>
  <si>
    <t>25/F 廁所洗瓦1人;5/F 露台洗瓦1人</t>
    <phoneticPr fontId="1" type="noConversion"/>
  </si>
  <si>
    <t>30/F 組裝櫥櫃 1人;10/F 裝櫥櫃1人;2/F 裝櫥櫃板1人</t>
    <phoneticPr fontId="1" type="noConversion"/>
  </si>
  <si>
    <t>31/F 廁所水櫃穿線1人;19/F 水櫃安裝2人;16/F 底板1人
15/F 走廊底板3人;12/F 走廊底板2人</t>
    <phoneticPr fontId="1" type="noConversion"/>
  </si>
  <si>
    <r>
      <t>墨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斗</t>
    </r>
    <phoneticPr fontId="1" type="noConversion"/>
  </si>
  <si>
    <r>
      <t>廚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櫃</t>
    </r>
    <phoneticPr fontId="1" type="noConversion"/>
  </si>
  <si>
    <r>
      <t>什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項</t>
    </r>
    <phoneticPr fontId="1" type="noConversion"/>
  </si>
  <si>
    <r>
      <t>泥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水</t>
    </r>
    <phoneticPr fontId="1" type="noConversion"/>
  </si>
  <si>
    <r>
      <t>浴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屏</t>
    </r>
    <phoneticPr fontId="1" type="noConversion"/>
  </si>
  <si>
    <r>
      <t>雲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石</t>
    </r>
    <phoneticPr fontId="1" type="noConversion"/>
  </si>
  <si>
    <r>
      <t>油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漆</t>
    </r>
    <phoneticPr fontId="1" type="noConversion"/>
  </si>
  <si>
    <r>
      <t>門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框</t>
    </r>
    <phoneticPr fontId="1" type="noConversion"/>
  </si>
  <si>
    <r>
      <t>鋁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窗</t>
    </r>
    <phoneticPr fontId="2" type="noConversion"/>
  </si>
  <si>
    <t>31/F 骨架 1人；30/F 骨架2人；26/F 廁所骨架1人；25/F 走廊天花骨架1人
21/F 走廊天花骨架1人；19/F 廁所天花板1人
18/F 走廊天花封底板2人；15/F 走廊天花封底板2人</t>
    <phoneticPr fontId="1" type="noConversion"/>
  </si>
  <si>
    <t>27/F製位批灰1人；23/F燈兜返灰1人；23/F廚房天花批灰1人；15/F批灰1人
12/F批灰1人；7/F走廊燈位批灰1人；2/F批灰省油5人</t>
    <phoneticPr fontId="1" type="noConversion"/>
  </si>
  <si>
    <t>31/F 裝門2人；8/F 裝單位門框1人；2/F 執釘窿1人</t>
    <phoneticPr fontId="1" type="noConversion"/>
  </si>
  <si>
    <t>臨吊D單位唧膠2人；21/F 安裝冷氣機窗仔 1人</t>
    <phoneticPr fontId="1" type="noConversion"/>
  </si>
  <si>
    <t>21/F 清膠紙 2人；2/F 鋁板收口1人；G1/F 基仔冚 1人</t>
    <phoneticPr fontId="1" type="noConversion"/>
  </si>
  <si>
    <t>33/F 垃圾槽燈喉 1人；19/F MCB駁線2人；1/F 清掣箱 2人</t>
    <phoneticPr fontId="1" type="noConversion"/>
  </si>
  <si>
    <t>20/F 座廁去水駁喉1人；11/F 裝廁所腳1人；8/F 裝座廁1人</t>
    <phoneticPr fontId="1" type="noConversion"/>
  </si>
  <si>
    <t>水 櫃</t>
    <phoneticPr fontId="2" type="noConversion"/>
  </si>
  <si>
    <r>
      <t>判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墨</t>
    </r>
    <phoneticPr fontId="1" type="noConversion"/>
  </si>
  <si>
    <t>台面石</t>
    <phoneticPr fontId="1" type="noConversion"/>
  </si>
  <si>
    <r>
      <t>水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櫃</t>
    </r>
    <phoneticPr fontId="2" type="noConversion"/>
  </si>
  <si>
    <r>
      <t>坤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記</t>
    </r>
    <phoneticPr fontId="1" type="noConversion"/>
  </si>
  <si>
    <r>
      <t>佳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 xml:space="preserve">源 </t>
    </r>
    <phoneticPr fontId="1" type="noConversion"/>
  </si>
  <si>
    <r>
      <t>華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昇</t>
    </r>
    <phoneticPr fontId="1" type="noConversion"/>
  </si>
  <si>
    <r>
      <t>建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聯</t>
    </r>
    <phoneticPr fontId="1" type="noConversion"/>
  </si>
  <si>
    <r>
      <t>光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明</t>
    </r>
    <phoneticPr fontId="1" type="noConversion"/>
  </si>
  <si>
    <r>
      <t>新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誠</t>
    </r>
    <phoneticPr fontId="1" type="noConversion"/>
  </si>
  <si>
    <r>
      <t>恒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裕</t>
    </r>
    <phoneticPr fontId="2" type="noConversion"/>
  </si>
  <si>
    <r>
      <t>海</t>
    </r>
    <r>
      <rPr>
        <sz val="9"/>
        <rFont val="Microsoft YaHei"/>
        <family val="3"/>
        <charset val="134"/>
      </rPr>
      <t xml:space="preserve"> </t>
    </r>
    <r>
      <rPr>
        <sz val="9"/>
        <rFont val="細明體"/>
        <family val="3"/>
        <charset val="136"/>
      </rPr>
      <t>城</t>
    </r>
    <phoneticPr fontId="1" type="noConversion"/>
  </si>
  <si>
    <t>30/F 廁所牆身瓦2人
25/F 廁所地台瓦 1人
23/F 走廊牆身瓦 1人
21/F 露台地台瓦1人
16/F執平企直1人
7/F 垃圾房地台瓦1人
2/F幕墻基仔包角+執腳線位墻身2人 
1/F 自流平 1人</t>
    <phoneticPr fontId="1" type="noConversion"/>
  </si>
  <si>
    <t>R/F 露台舖板1人
33/F 廚房牆身瓦 2人
32/F 地台瓦1人 
31/F 廁所牆身打針2人
31/F 清場2人
31/F 盪樓梯1人
31/F 廁所牆身瓦2人</t>
    <phoneticPr fontId="1" type="noConversion"/>
  </si>
  <si>
    <t>19/F櫥位批灰1人；18/F執位省油1人；11/F批灰1人+廚廁批灰1人
10/F批灰1人+石膏板放骨1人；5/F走廊批灰1人</t>
    <phoneticPr fontId="1" type="noConversion"/>
  </si>
  <si>
    <t>8/F 樓梯扶手2人</t>
    <phoneticPr fontId="1" type="noConversion"/>
  </si>
  <si>
    <t>22/F 洗廁所牆身地台瓦1人</t>
    <phoneticPr fontId="1" type="noConversion"/>
  </si>
  <si>
    <t>23-26/F 垃圾房地台窿2人</t>
    <phoneticPr fontId="1" type="noConversion"/>
  </si>
  <si>
    <t>25/F 廁所地台瓦 1人
23/F 走廊牆身瓦 1人
21/F 露台地台瓦1人
16/F打磨耳位1人
15/F執平企直2人
12/F批滑面3人
7/F 垃圾房地台瓦1人
1/F 自流平 1人</t>
    <phoneticPr fontId="1" type="noConversion"/>
  </si>
  <si>
    <t>R/F 露台舖板2人
33/F 廚房牆身瓦 1人
32/F 清場2人
31/F 落露台地台石屎3人
31/F 盪樓梯1人
31/F 地台瓦2人
30/F 廁所牆身瓦2人
29/F 廁所牆身瓦2人</t>
    <phoneticPr fontId="1" type="noConversion"/>
  </si>
  <si>
    <t>30/F 裝企身骨 1人；29/F 裝天花骨2人；26/F 企身板 1人；23/F 底板 2人
16/F 走廊底板 2人；15/F 廚房骨架 2人；9/F 裝廚房骨架 1人</t>
    <phoneticPr fontId="1" type="noConversion"/>
  </si>
  <si>
    <t>18F 走廊穿線 2人</t>
    <phoneticPr fontId="1" type="noConversion"/>
  </si>
  <si>
    <t>18/F 黐紙帶 1人</t>
    <phoneticPr fontId="1" type="noConversion"/>
  </si>
  <si>
    <r>
      <t>21/F廚天花癡紙帶1人；16/F執位省油1人；11/F批灰1人
10/F批灰1人+石膏板放骨1人；7/F翻灰1人；5/F唧膠1人；3/F</t>
    </r>
    <r>
      <rPr>
        <sz val="9"/>
        <rFont val="新細明體-ExtB"/>
        <family val="3"/>
        <charset val="136"/>
      </rPr>
      <t>𨋢</t>
    </r>
    <r>
      <rPr>
        <sz val="9"/>
        <rFont val="細明體"/>
        <family val="3"/>
        <charset val="136"/>
      </rPr>
      <t>口放骨1人</t>
    </r>
    <phoneticPr fontId="1" type="noConversion"/>
  </si>
  <si>
    <t>3/F 樓梯扶手2人</t>
    <phoneticPr fontId="1" type="noConversion"/>
  </si>
  <si>
    <t>23/F 露台地台瓦1人
18/F執平企直3人
16/F打鑿墻身批底2人
15/F 垃圾房地台瓦1人
7/F 幕牆連走廊機房基仔批面2人
1/F 廚房牆身瓦1人
G2F 廚房牆身瓦1人
G2 自流平1人
G2 批樓梯牆身1人</t>
    <phoneticPr fontId="1" type="noConversion"/>
  </si>
  <si>
    <t>35/F 塞門框1人
33/F 廳地台瓦2人 
32/F 廁所牆身打針2人
32/F 廁所牆身瓦2人
32/F 清場2人
28/F 廁所地台瓦 1人
28/F 走廊牆身瓦 1人
26/F 落廊地台石屎3人
25/F 垃圾房地台瓦1人</t>
    <phoneticPr fontId="1" type="noConversion"/>
  </si>
  <si>
    <t>R/F 電制房穿線2人；18/F 單位MCB穿線2人</t>
    <phoneticPr fontId="1" type="noConversion"/>
  </si>
  <si>
    <t>10/F 走廊底框3人</t>
    <phoneticPr fontId="1" type="noConversion"/>
  </si>
  <si>
    <t>29/F 垃圾糟紮鐵4人</t>
    <phoneticPr fontId="1" type="noConversion"/>
  </si>
  <si>
    <t>17/F 隔火層裝門2人</t>
    <phoneticPr fontId="1" type="noConversion"/>
  </si>
  <si>
    <t>9/F 裝趟門門玉2人</t>
    <phoneticPr fontId="1" type="noConversion"/>
  </si>
  <si>
    <t>15/F 砌櫃1人</t>
    <phoneticPr fontId="1" type="noConversion"/>
  </si>
  <si>
    <t>35/F 露台釘渠1人
33/F 廁所牆身打針2人
32/F 廁所牆身瓦2人
32/F 清場2人
28/F 廁所地台瓦 1人
28/F 走廊牆身瓦 1人
26/F 露台地台瓦1人 
21/F 垃圾房地台瓦1人</t>
    <phoneticPr fontId="1" type="noConversion"/>
  </si>
  <si>
    <t>19/F 幕牆連走廊機房基仔批面2人
18/F執平企直3人
15/F 垃圾房地台瓦1人
1/F 廚房牆身瓦1人
1/F 廳地台瓦2人 
G2 廚房牆身瓦1人
G2 自流平1人
G2 批樓梯牆身1人</t>
    <phoneticPr fontId="1" type="noConversion"/>
  </si>
  <si>
    <t>23/F 清場2人
22/F 走廊批基仔2人
18/F 執平企直 2人+ 2/F 1人
16/F 執批盪1人
10/F 自流平磨地台2人
9/F 廁所去水掃口 1人
1/F 廳地台瓦 1人
G2/F 自流平 1人
G2/F 廚房白瓦 2人</t>
    <phoneticPr fontId="1" type="noConversion"/>
  </si>
  <si>
    <t>上料4人
35/F A露台滑面 1人
35/F 鋪隔熱板1人
35/F 釘板1人
33/F 廁所泥底打針2人
29/F 走廊牆身瓦1人
29/F 廁所地台瓦1人
26/F 垃圾房地台瓦1人
25/F 廁所水櫃批躉 1人
25/F 露台瓦1人</t>
    <phoneticPr fontId="1" type="noConversion"/>
  </si>
  <si>
    <t>31/F 骨架 1人；30/F 骨架2人；26/F 廁所骨架1人；22/F 走廊天花骨架1人；21/F 走廊天花骨架1人；19/F 廁所天花板1人；18/F 走廊天花封底板2人；15/F 走廊天花封底板2人</t>
    <phoneticPr fontId="1" type="noConversion"/>
  </si>
  <si>
    <t>31/F 廁所水櫃穿線1人；19/F 水櫃安裝2人；16/F 底板1人；15/F 走廊底板3人；12/F 走廊底板2人</t>
    <phoneticPr fontId="1" type="noConversion"/>
  </si>
  <si>
    <t>30/F 組裝櫥櫃 1人；10/F 裝櫥櫃1人；2/F 裝櫥櫃板1人</t>
    <phoneticPr fontId="1" type="noConversion"/>
  </si>
  <si>
    <t>25/F 掣位批灰1人；23/F 廚房天花批灰1人；15/F 單位批灰 1人；12/F 批冷氣機位1人；12/F 單位批灰 1人；2/F 批灰4人 省灰1人</t>
    <phoneticPr fontId="1" type="noConversion"/>
  </si>
  <si>
    <t>21/F 安裝冷氣機窗仔 1人</t>
    <phoneticPr fontId="1" type="noConversion"/>
  </si>
  <si>
    <t>8/F 裝單位門框1人；2/F 執釘窿1人</t>
    <phoneticPr fontId="1" type="noConversion"/>
  </si>
  <si>
    <t>31/F 廳地台瓦1人；31/F 垃圾房牆身瓦 1人；17/F 渠邊抆泥4人</t>
    <phoneticPr fontId="1" type="noConversion"/>
  </si>
  <si>
    <t>上料，清場1人；9，1O/F厨廁批灰1人；10/F石膏板批灰1人；21/F落紙帶1人</t>
    <phoneticPr fontId="1" type="noConversion"/>
  </si>
  <si>
    <t>落垃圾槽4人</t>
    <phoneticPr fontId="1" type="noConversion"/>
  </si>
  <si>
    <t>30/F廁所墨2人</t>
    <phoneticPr fontId="1" type="noConversion"/>
  </si>
  <si>
    <t>16/F走廊封板1人</t>
    <phoneticPr fontId="1" type="noConversion"/>
  </si>
  <si>
    <t>23/F 走廊牆身瓦 1人
23/F 廁所地台瓦 1人
20/F 露台地台瓦1人
15/F執平企直3人
12/F執打鑿面批蕩3人
3/F 垃圾房地台瓦1人
1/F 廁所廚房打針 2人</t>
    <phoneticPr fontId="1" type="noConversion"/>
  </si>
  <si>
    <t>R/F 露台舖板1人
33/F 廚房牆身瓦 1人
32/F 清場2人
31/F 地台瓦2人
29/F 垃圾房牆身瓦 1人
29/F 廁所牆身瓦2人
28/F 廁所牆身瓦2人</t>
    <phoneticPr fontId="1" type="noConversion"/>
  </si>
  <si>
    <t>29/F  垃圾房隔氣1人；23/F pipe duct房封窿 1人；23/F 廁所駁喉 1人</t>
    <phoneticPr fontId="1" type="noConversion"/>
  </si>
  <si>
    <t>30/F 裝企身骨 1人；26/F 企身板 1人；22/F 底板 2人；20/F 廁所架 2人
15/F 走廊底板 1人；12/F 廚房骨架 2人；9/F 裝廚房骨架 1人</t>
    <phoneticPr fontId="1" type="noConversion"/>
  </si>
  <si>
    <t>30/F 走廊穿線 2人；29/F MCB 穿線 2人；22F 清掣箱駁線 1人</t>
    <phoneticPr fontId="1" type="noConversion"/>
  </si>
  <si>
    <t>19/F 黐紙帶 1人</t>
    <phoneticPr fontId="1" type="noConversion"/>
  </si>
  <si>
    <t>18/F廚房落紙帶1人；17/F走廊油油1人；17/F噴油2人；11/F製位油油1人
9/F冷氣機位省油1人；9/F廚廁翻灰1人；10/F石膏板放骨批灰1人</t>
    <phoneticPr fontId="1" type="noConversion"/>
  </si>
  <si>
    <t>2/F 拆垃圾槽 2人</t>
    <phoneticPr fontId="1" type="noConversion"/>
  </si>
  <si>
    <t>R/F 露台玻璃唧膠1人</t>
    <phoneticPr fontId="1" type="noConversion"/>
  </si>
  <si>
    <t>22-32/F 上通架料2人</t>
    <phoneticPr fontId="1" type="noConversion"/>
  </si>
  <si>
    <r>
      <t>吊</t>
    </r>
    <r>
      <rPr>
        <sz val="9"/>
        <rFont val="微軟正黑體"/>
        <family val="3"/>
        <charset val="134"/>
      </rPr>
      <t xml:space="preserve"> </t>
    </r>
    <r>
      <rPr>
        <sz val="9"/>
        <rFont val="細明體"/>
        <family val="3"/>
        <charset val="136"/>
      </rPr>
      <t>船</t>
    </r>
    <phoneticPr fontId="2" type="noConversion"/>
  </si>
  <si>
    <t>R/F 永吊改sensor 2人</t>
    <phoneticPr fontId="1" type="noConversion"/>
  </si>
  <si>
    <t>22/F 廁所地台瓦 1人
20/F 露台地台瓦1人
15/F執平企直2人
12/F執平企直1人
11/F打鑿墻身批灰3人 
3/F 垃圾房地台瓦1人
1/F 廁所廚房打針 2人
1/F 批牆身泥底1人</t>
    <phoneticPr fontId="1" type="noConversion"/>
  </si>
  <si>
    <t>R/F 落露台面 3人
32/F 清場2人
32/F 廚房牆身瓦 2人
30/F 地台瓦2人
29/F 廁所牆身瓦2人
28/F 廁所牆身瓦2人
28/F 垃圾房牆身瓦 1人
23/F 走廊牆身瓦 1人</t>
    <phoneticPr fontId="1" type="noConversion"/>
  </si>
  <si>
    <t>30/F 裝企身骨 1人；26/F 企身板 1人；22/F 底板 2人；20/F 廁所架 2人；16/F 廁所底板 1人；12/F 廚房骨架 2人；9/F 裝廚房骨架 1人</t>
    <phoneticPr fontId="1" type="noConversion"/>
  </si>
  <si>
    <t>22/F 黐紙帶 1人</t>
    <phoneticPr fontId="1" type="noConversion"/>
  </si>
  <si>
    <t>18/F 廁所燈兜省油1人；17/F噴油2人；10/F批灰1人+冷氣機位省油1人；9/F批灰1人；9/F廚廁翻灰1人；8/F石膏板批灰1人</t>
    <phoneticPr fontId="1" type="noConversion"/>
  </si>
  <si>
    <t>6/F 拆垃圾槽 2人</t>
    <phoneticPr fontId="1" type="noConversion"/>
  </si>
  <si>
    <t>33/F 廁所防水3人</t>
    <phoneticPr fontId="1" type="noConversion"/>
  </si>
  <si>
    <t>27/F 裝櫃2人</t>
    <phoneticPr fontId="1" type="noConversion"/>
  </si>
  <si>
    <t>26/F 廁所牆身瓦 1人
19、20、23/F 盪走廊地台 2人
22/F 走廊牆身瓦 1人
22/F 廁所地台瓦 1人
12/F 牆身平企直 3人
3/F 露台批冷氣機躉 1人
1/F 廁所廚房打針 2人
1/F 批牆身泥底1人</t>
    <phoneticPr fontId="1" type="noConversion"/>
  </si>
  <si>
    <t>35/F 盪樓梯 2人
33/F 鏟樓梯地台 1人
32/F 廚房牆身瓦 2人
31/F 廚房牆身瓦掃口 1人
31/F 清場 2人
30/F 地台瓦2人
29/F 廁所牆身瓦1人
28/F 廁所牆身瓦1人
27/F 垃圾房牆身瓦 1人</t>
    <phoneticPr fontId="1" type="noConversion"/>
  </si>
  <si>
    <t>R/F 安裝風槽 1人</t>
    <phoneticPr fontId="1" type="noConversion"/>
  </si>
  <si>
    <t>35/F 垃圾房隔氣 1人；22/F 廁所駁喉 1人</t>
    <phoneticPr fontId="1" type="noConversion"/>
  </si>
  <si>
    <t>27/F 企身板 1人；25/F 企身板 1人；21/F 底板 2人；21/F 廁所架 1人；16/F 廁所底板 1人；12/F 廚房骨架 2人；7/F 裝廚房骨架 1人</t>
    <phoneticPr fontId="1" type="noConversion"/>
  </si>
  <si>
    <t>27/F MCB 穿線 2人；27/F 走廊穿線 2人；22F 清掣箱駁線 1人</t>
    <phoneticPr fontId="1" type="noConversion"/>
  </si>
  <si>
    <t>18/F 廁所燈帶1人；16/F 裝水櫃 1人；8/F 裝水櫃 1人</t>
    <phoneticPr fontId="1" type="noConversion"/>
  </si>
  <si>
    <t>18/F 廁所燈兜批灰 1人；18/F 石膏板唧膠1人；10/F 冷氣機位批灰 1人；9/F 牆身批灰1人；8/F 牆身批灰 1人；8/F 石膏板批灰 1人</t>
    <phoneticPr fontId="1" type="noConversion"/>
  </si>
  <si>
    <t>17/F 防火板 2人</t>
    <phoneticPr fontId="1" type="noConversion"/>
  </si>
  <si>
    <t>15/F 安裝冷氣機台窗 1人</t>
    <phoneticPr fontId="1" type="noConversion"/>
  </si>
  <si>
    <t>11/F 拆垃圾槽 2人</t>
    <phoneticPr fontId="1" type="noConversion"/>
  </si>
  <si>
    <t>7/F 度數2人</t>
    <phoneticPr fontId="1" type="noConversion"/>
  </si>
  <si>
    <t>7/F 裝單位門框 2人；2/F 走廊門框 1人</t>
    <phoneticPr fontId="1" type="noConversion"/>
  </si>
  <si>
    <t>1/F 開線 2人</t>
    <phoneticPr fontId="1" type="noConversion"/>
  </si>
  <si>
    <t>27/F 廁所牆身瓦2人 
21/F 走廊牆身瓦 1人
21/F 露台地台瓦 1人
16/F 清瓦料垃圾 2人
12/F 執平企直3人</t>
    <phoneticPr fontId="1" type="noConversion"/>
  </si>
  <si>
    <t>R/F c單位舖板 1人
32/F 塞窿1人
32/F 廚房瓦2人
29/F 廚房地台瓦 1人
29/F 廁所牆身瓦1人</t>
    <phoneticPr fontId="1" type="noConversion"/>
  </si>
  <si>
    <t xml:space="preserve">16/F 石膏板癡紙帶1人；9/F 冷氣機位翻灰1人；8/F 石膏板批灰2人；6/F 廁所翻灰1人；6/F 露台天花省油1人 </t>
    <phoneticPr fontId="1" type="noConversion"/>
  </si>
  <si>
    <t>31/F 樓梯位裝風槽 2人；19/F 裝抽氣電線 1人；18/F 廁所天花風槽裝水線 2人</t>
    <phoneticPr fontId="1" type="noConversion"/>
  </si>
  <si>
    <t>17/F 拆垃圾糟2人</t>
    <phoneticPr fontId="1" type="noConversion"/>
  </si>
  <si>
    <t>26/F 組裝底櫃及進行裝嵌 1人；6/F 組裝吊櫃 1人；3/F 裝嵌吊櫃 2人</t>
    <phoneticPr fontId="1" type="noConversion"/>
  </si>
  <si>
    <t>19/F 垃圾房水喉1人；19/F 水喉電4人</t>
    <phoneticPr fontId="1" type="noConversion"/>
  </si>
  <si>
    <t>27/F 封石膏板 2人 ；25/F 封石膏板 1人；21/F 廚房位封石膏板1人；16/F 走廊天花骨 2人</t>
    <phoneticPr fontId="1" type="noConversion"/>
  </si>
  <si>
    <t>32/F 裝走廊樓梯燈 1人；26/F 單位穿喉出MCB箱線 2人；23/F 走廊加燈 2人；25/F MCB箱穿線 2人</t>
    <phoneticPr fontId="1" type="noConversion"/>
  </si>
  <si>
    <t>18/F dry wall黐紙帶 1人</t>
    <phoneticPr fontId="1" type="noConversion"/>
  </si>
  <si>
    <t>8/F 走廊底骨mark位 2人；5/F 走廊裝底板 3人</t>
    <phoneticPr fontId="1" type="noConversion"/>
  </si>
  <si>
    <t>21/F 走廊位穿線1人</t>
    <phoneticPr fontId="1" type="noConversion"/>
  </si>
  <si>
    <t>17/F 裝消防泵2人</t>
    <phoneticPr fontId="1" type="noConversion"/>
  </si>
  <si>
    <t>西門子</t>
    <phoneticPr fontId="1" type="noConversion"/>
  </si>
  <si>
    <r>
      <t>家</t>
    </r>
    <r>
      <rPr>
        <sz val="9"/>
        <rFont val="微軟正黑體"/>
        <family val="3"/>
        <charset val="134"/>
      </rPr>
      <t xml:space="preserve"> </t>
    </r>
    <r>
      <rPr>
        <sz val="9"/>
        <rFont val="細明體"/>
        <family val="3"/>
        <charset val="136"/>
      </rPr>
      <t>電</t>
    </r>
    <phoneticPr fontId="2" type="noConversion"/>
  </si>
  <si>
    <t>31/F 裝抽油煙機喉1人</t>
    <phoneticPr fontId="1" type="noConversion"/>
  </si>
  <si>
    <t xml:space="preserve">UR 噴漿3人
R/F A單位渠釘板 2人
33/F 剷地台2人
32/F 廚房瓦1人
31/F 廚房瓦1人
29/F 地台瓦 2人
</t>
    <phoneticPr fontId="1" type="noConversion"/>
  </si>
  <si>
    <t xml:space="preserve">27/F 廁所牆身瓦2人 
26/F 廁所牆身瓦 1人
21/F 走廊牆身瓦 1人
21/F 露台地台瓦 1人
17/F鏟地台1人
16/F 清瓦料垃圾 2人
12樓執平企直3人 </t>
    <phoneticPr fontId="1" type="noConversion"/>
  </si>
  <si>
    <t>10/F製位省油1人；9/F批灰1人；8/F批灰1人+石膏板批灰1人；8/F冷氣機位補灰1人；6/F露台天花省油1人；5/F廚廁翻灰1人</t>
    <phoneticPr fontId="1" type="noConversion"/>
  </si>
  <si>
    <t>19/F 拆垃圾糟2人</t>
    <phoneticPr fontId="1" type="noConversion"/>
  </si>
  <si>
    <t>26/F 裝底櫃洗手盆位去水喉 1人；10/F 裝廁所面盆喉接駁口 1人</t>
    <phoneticPr fontId="1" type="noConversion"/>
  </si>
  <si>
    <t>31/F 樓梯扶手派料1人</t>
    <phoneticPr fontId="1" type="noConversion"/>
  </si>
  <si>
    <t>25/F 封石膏板 2人 ；16/F 走廊天花骨 2人</t>
    <phoneticPr fontId="1" type="noConversion"/>
  </si>
  <si>
    <t>27/F 裝走廊樓梯燈 1人；23/F 單位穿喉出MCB箱線 2人；15/F 走廊加燈 2人；25/F MCB箱穿線 2人</t>
    <phoneticPr fontId="1" type="noConversion"/>
  </si>
  <si>
    <t>16/F dry wall黐紙帶 1人</t>
    <phoneticPr fontId="1" type="noConversion"/>
  </si>
  <si>
    <t>28/F 走廊位穿線1人</t>
    <phoneticPr fontId="1" type="noConversion"/>
  </si>
  <si>
    <t>27/F 撕趟門膠紙4人</t>
    <phoneticPr fontId="1" type="noConversion"/>
  </si>
  <si>
    <t>21/F-23/F 權叔彈走廊牆身瓦墨 2人</t>
    <phoneticPr fontId="1" type="noConversion"/>
  </si>
  <si>
    <t>9/F 牆身電制位省灰灰 1人；9/F 冷氣機位批灰 1人；16/F 黐紙白帶 1人</t>
    <phoneticPr fontId="1" type="noConversion"/>
  </si>
  <si>
    <t>上料 3人
19/F 執廁所櫃躉面泥屎粒 1人；15/F B露台地台瓦 1人；11/F 牆身執平做企弄直 3人；G2/F 單位及廁所牆身噴漿 2人</t>
    <phoneticPr fontId="1" type="noConversion"/>
  </si>
  <si>
    <t>32/F-22/F 清垃圾槽殼 2人</t>
    <phoneticPr fontId="1" type="noConversion"/>
  </si>
  <si>
    <t>20/F 一老一嫩封石膏底板 2人；15-16/F 封廁所石膏板 2人；15-16/F 走廊天花起骨 1人</t>
    <phoneticPr fontId="1" type="noConversion"/>
  </si>
  <si>
    <t>21/F 走廊牆身瓦 1人
20/F砌浴室地台瓦1人
19/F蕩樓梯2人
15/F露台砌地台瓦1人
11/F執平企直3人</t>
    <phoneticPr fontId="1" type="noConversion"/>
  </si>
  <si>
    <t>R/F A單位鋪隔熱板 2人
31/F 廚房瓦2人
29/F 地台瓦 2人
27/F 廁所牆身瓦2人 
26/F 廁所牆身瓦 1人</t>
    <phoneticPr fontId="1" type="noConversion"/>
  </si>
  <si>
    <t>16/F癡紙帶1人；16/F執位省油1人；9/F批灰1人；8/F批灰1人；7/F冷氣機位補灰1人；3/F露台天花省油1人</t>
    <phoneticPr fontId="1" type="noConversion"/>
  </si>
  <si>
    <t>23/F 垃圾糟2人</t>
    <phoneticPr fontId="1" type="noConversion"/>
  </si>
  <si>
    <t>30/F 樓梯扶手派料 2人</t>
    <phoneticPr fontId="1" type="noConversion"/>
  </si>
  <si>
    <t>23/F 封石膏板 2人 ；15/F 走廊天花骨 2人</t>
    <phoneticPr fontId="1" type="noConversion"/>
  </si>
  <si>
    <t>18/F 裝走廊樓梯燈 1人；18/F 單位穿喉出MCB箱線 2人；15/F 走廊加燈 2人；26/F MCB箱穿線 2人</t>
    <phoneticPr fontId="1" type="noConversion"/>
  </si>
  <si>
    <t>8/F dry wall黐紙帶 1人</t>
    <phoneticPr fontId="1" type="noConversion"/>
  </si>
  <si>
    <r>
      <rPr>
        <b/>
        <sz val="10"/>
        <color rgb="FF000000"/>
        <rFont val="微軟正黑體"/>
        <family val="2"/>
        <charset val="136"/>
      </rPr>
      <t>吊船</t>
    </r>
    <r>
      <rPr>
        <b/>
        <sz val="10"/>
        <color indexed="8"/>
        <rFont val="Arial"/>
        <family val="2"/>
        <charset val="136"/>
      </rPr>
      <t xml:space="preserve"> H</t>
    </r>
    <r>
      <rPr>
        <b/>
        <sz val="10"/>
        <color rgb="FF000000"/>
        <rFont val="微軟正黑體"/>
        <family val="2"/>
        <charset val="136"/>
      </rPr>
      <t>單位外牆執瓦仔</t>
    </r>
    <r>
      <rPr>
        <b/>
        <sz val="10"/>
        <color indexed="8"/>
        <rFont val="Arial"/>
        <family val="2"/>
        <charset val="136"/>
      </rPr>
      <t xml:space="preserve"> 2</t>
    </r>
    <r>
      <rPr>
        <b/>
        <sz val="10"/>
        <color rgb="FF000000"/>
        <rFont val="微軟正黑體"/>
        <family val="2"/>
        <charset val="136"/>
      </rPr>
      <t>人</t>
    </r>
    <phoneticPr fontId="1" type="noConversion"/>
  </si>
  <si>
    <t>32/F 批MCB箱位灰 1人；15/F 石膏板黐紙帶 1人；8/F 石膏板批灰 1人；8/F 牆身省灰 1人</t>
    <phoneticPr fontId="1" type="noConversion"/>
  </si>
  <si>
    <t>26/F E組裝底櫃及進行裝嵌 1人；6/F C組裝吊櫃 1人；3/F H&amp;J裝嵌吊櫃 2人</t>
    <phoneticPr fontId="1" type="noConversion"/>
  </si>
  <si>
    <t>26/F 樓梯扶手派料 2人</t>
    <phoneticPr fontId="1" type="noConversion"/>
  </si>
  <si>
    <t>19/F 封石膏板 2人 ；5/F 走廊天花骨 2人</t>
    <phoneticPr fontId="1" type="noConversion"/>
  </si>
  <si>
    <t>32-30/F 拆3層垃圾槽 2人</t>
    <phoneticPr fontId="1" type="noConversion"/>
  </si>
  <si>
    <t>18/F 裝走廊樓梯燈 1人；18/F ACF單位穿喉出MCB箱線 2人；15/F 走廊加燈 2人；10/F MCB箱穿線 2人</t>
    <phoneticPr fontId="1" type="noConversion"/>
  </si>
  <si>
    <t>15/F dry wall黐紙帶 1人</t>
    <phoneticPr fontId="1" type="noConversion"/>
  </si>
  <si>
    <t>R/F唧膠2人；8/F 水框位清潔裝疏結1人</t>
    <phoneticPr fontId="1" type="noConversion"/>
  </si>
  <si>
    <t>23/F垃圾房砌墻身瓦1人
19/F 露台砌地瓦1 人
19/F 走廊牆身瓦1人
19/F 廁所地台瓦掃口1人
23/F 批塞漏光位1人
18/F.16.11/F落硬底地台3人
17/F PD執滑面1人
12樓 執平企直3人
10/F 翻手批盪2人
1/F 房口牆身批面1人
G1/F 房口批天花1人</t>
    <phoneticPr fontId="1" type="noConversion"/>
  </si>
  <si>
    <t>上料 3人
R/F 鋪隔熱板1人
33/F剷廁所地台1人
32/F 自流平1人
29/F 清場2人
31/F 廚房牆身瓦 2人
29/F 客廳地台瓦2人
26/F  H單位砌廚房地瓦 2人
26/F 廁所牆身瓦2人
25/F 廁所牆身瓦2人</t>
    <phoneticPr fontId="1" type="noConversion"/>
  </si>
  <si>
    <r>
      <rPr>
        <b/>
        <sz val="10"/>
        <color rgb="FF000000"/>
        <rFont val="微軟正黑體"/>
        <family val="2"/>
        <charset val="136"/>
      </rPr>
      <t>吊船執瓦</t>
    </r>
    <r>
      <rPr>
        <b/>
        <sz val="10"/>
        <color indexed="8"/>
        <rFont val="Arial"/>
        <family val="2"/>
        <charset val="136"/>
      </rPr>
      <t>2</t>
    </r>
    <r>
      <rPr>
        <b/>
        <sz val="10"/>
        <color rgb="FF000000"/>
        <rFont val="微軟正黑體"/>
        <family val="2"/>
        <charset val="136"/>
      </rPr>
      <t>人</t>
    </r>
    <phoneticPr fontId="1" type="noConversion"/>
  </si>
  <si>
    <t>28/F 行下頭1人</t>
    <phoneticPr fontId="1" type="noConversion"/>
  </si>
  <si>
    <t>10樓 電製位翻灰 1人；9樓  墻身批灰1人；8樓  石膏板批灰1人；7樓  廁所天花批灰1人；6樓  翻灰1人</t>
    <phoneticPr fontId="1" type="noConversion"/>
  </si>
  <si>
    <t>29/F 裝天花骨1人;19/F 裝石膏底板2人;3/F 裝走廊GRG 3人</t>
    <phoneticPr fontId="1" type="noConversion"/>
  </si>
  <si>
    <t>2/F 裝吊櫃 2人 ；25/F 裝底櫃1人；7/F 櫥櫃位裝火牛1人</t>
    <phoneticPr fontId="1" type="noConversion"/>
  </si>
  <si>
    <t>6/F 走廊位底骨1人；5/F 裝走廊底板3人</t>
    <phoneticPr fontId="1" type="noConversion"/>
  </si>
  <si>
    <t>35/F 單位開批盪墨2人</t>
    <phoneticPr fontId="1" type="noConversion"/>
  </si>
  <si>
    <t>D單位幕牆試水2人 室內1人；28/F 幕牆裝修口1人</t>
    <phoneticPr fontId="1" type="noConversion"/>
  </si>
  <si>
    <t>28/F 簪水線2人</t>
    <phoneticPr fontId="1" type="noConversion"/>
  </si>
  <si>
    <t>27/F 櫥櫃裝掣冚1人；20/F 公眾位裝燈1人；8/F MCB 簪線2人；G2/F check制箱高度1人</t>
    <phoneticPr fontId="1" type="noConversion"/>
  </si>
  <si>
    <t>上料3人</t>
    <phoneticPr fontId="1" type="noConversion"/>
  </si>
  <si>
    <t>16/F批牆身2人；15/F 批牆身2人；9/F 批牆身1人；8/F 批天花2人；2/F 執灰1人</t>
    <phoneticPr fontId="1" type="noConversion"/>
  </si>
  <si>
    <t>27/F 水喉1人</t>
    <phoneticPr fontId="1" type="noConversion"/>
  </si>
  <si>
    <t>9/F 單位MCB 穿線2人</t>
    <phoneticPr fontId="1" type="noConversion"/>
  </si>
  <si>
    <t>3/F 單位開墨2人</t>
    <phoneticPr fontId="1" type="noConversion"/>
  </si>
  <si>
    <t>18/F 廚房封板3人</t>
    <phoneticPr fontId="1" type="noConversion"/>
  </si>
  <si>
    <t>35/F 露台樓梯做防水4人</t>
    <phoneticPr fontId="1" type="noConversion"/>
  </si>
  <si>
    <t>公衆假期</t>
    <phoneticPr fontId="1" type="noConversion"/>
  </si>
  <si>
    <t>35F 廚房搓柱頭1人；15F 執廁所躉仔1人；17F 批樓梯1人</t>
    <phoneticPr fontId="1" type="noConversion"/>
  </si>
  <si>
    <t>UR 噴油2人；15F 批牆身1人；9F 批牆身1人；8F 批天花1人；6F 省油3人；2F 執灰1人</t>
    <phoneticPr fontId="1" type="noConversion"/>
  </si>
  <si>
    <t>UR 水喉1人</t>
    <phoneticPr fontId="1" type="noConversion"/>
  </si>
  <si>
    <r>
      <t>30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自流平 1人；26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砌廁所瓦1人；17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隔火層批面4人；10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執浴室櫃躉2人；10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 xml:space="preserve">F 執明陰角 3人 </t>
    </r>
    <phoneticPr fontId="1" type="noConversion"/>
  </si>
  <si>
    <t>UR 水缸房噴牆身 2人；5-8F 省灰批灰6人；12-16/F 批灰 1人</t>
    <phoneticPr fontId="1" type="noConversion"/>
  </si>
  <si>
    <t>28F 裝天花骨1人；8-9F 派料 裝走廊石膏板4人</t>
    <phoneticPr fontId="1" type="noConversion"/>
  </si>
  <si>
    <r>
      <t>32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廁所 PD 房油防水 3人</t>
    </r>
    <phoneticPr fontId="1" type="noConversion"/>
  </si>
  <si>
    <r>
      <t>9</t>
    </r>
    <r>
      <rPr>
        <sz val="9"/>
        <rFont val="微軟正黑體"/>
        <family val="3"/>
        <charset val="134"/>
      </rPr>
      <t>/</t>
    </r>
    <r>
      <rPr>
        <sz val="9"/>
        <rFont val="細明體"/>
        <family val="3"/>
        <charset val="136"/>
      </rPr>
      <t>F MCB穿線2人</t>
    </r>
    <phoneticPr fontId="1" type="noConversion"/>
  </si>
  <si>
    <t>29-31/F廚房瓦墨2人</t>
    <phoneticPr fontId="1" type="noConversion"/>
  </si>
  <si>
    <t>28/F 裝天花骨1人；6/F 走廊裝石膏板4人</t>
    <phoneticPr fontId="1" type="noConversion"/>
  </si>
  <si>
    <t>1/F露台防水3人；G/F-32/F 上料1人</t>
    <phoneticPr fontId="1" type="noConversion"/>
  </si>
  <si>
    <t>8/F 批灰1人；7/F 批灰2人；5/F 省灰2人</t>
    <phoneticPr fontId="1" type="noConversion"/>
  </si>
  <si>
    <t>9/F 穿線2人</t>
    <phoneticPr fontId="1" type="noConversion"/>
  </si>
  <si>
    <t>30/F 自流平1人；27/F 洗地台瓦1人；26/F 砌牆身瓦1人；21/F 砌垃圾房白瓦1人；17/F 隔火層批牆身3人；10/F 執明陰角3人；G/F-3/2F 上料3人</t>
    <phoneticPr fontId="1" type="noConversion"/>
  </si>
  <si>
    <t xml:space="preserve">R/F 水喉電1人；R/F 包豬腸膠1人；11/F 裝廁所曲尺掣 1人；G1/F 水喉套筒唧膠 2人 </t>
    <phoneticPr fontId="1" type="noConversion"/>
  </si>
  <si>
    <t>20/F垃圾房砌墻身瓦1人
19/F 垃圾房砌墻身瓦1人 
18/F 走廊牆身瓦1人
12/F 塞抆1人
10/F 執平企直 3人
8/F 冷氣機位返執1人
6/F 走廊地台瓦 1人
5/F 走廊地台瓦掃口 2人
5/F 磨地台 1人
1/F 剷地台 2人</t>
    <phoneticPr fontId="1" type="noConversion"/>
  </si>
  <si>
    <r>
      <t xml:space="preserve">
</t>
    </r>
    <r>
      <rPr>
        <b/>
        <sz val="10"/>
        <color rgb="FF000000"/>
        <rFont val="微軟正黑體"/>
        <family val="2"/>
        <charset val="136"/>
      </rPr>
      <t>吊船砌瓦</t>
    </r>
    <r>
      <rPr>
        <b/>
        <sz val="10"/>
        <color indexed="8"/>
        <rFont val="Arial"/>
        <family val="2"/>
        <charset val="136"/>
      </rPr>
      <t>2</t>
    </r>
    <r>
      <rPr>
        <b/>
        <sz val="10"/>
        <color rgb="FF000000"/>
        <rFont val="微軟正黑體"/>
        <family val="2"/>
        <charset val="136"/>
      </rPr>
      <t>人</t>
    </r>
    <phoneticPr fontId="1" type="noConversion"/>
  </si>
  <si>
    <t xml:space="preserve">上料 3人
35/F 樓梯牆身批面1人
32/F 自流平1人
31/F 清場2人
30/F 廚房牆身瓦 2人
29/F 客廳地台瓦1人
26/F  e單位廚房砌瓦 1人
26/F 廁所牆身瓦1人
25/F 廁所牆身瓦1人
23/F  廁所牆身瓦1人 </t>
    <phoneticPr fontId="1" type="noConversion"/>
  </si>
  <si>
    <t>11/F 掛煙霧頭 1人</t>
    <phoneticPr fontId="1" type="noConversion"/>
  </si>
  <si>
    <t xml:space="preserve">12/F 黐紙帶 1人；8/F 廁所天花油漆 1人；7/F 露台天花油漆 1人；7/F 冷氣機位油漆 1人；7/F 批灰 1人 </t>
    <phoneticPr fontId="1" type="noConversion"/>
  </si>
  <si>
    <t xml:space="preserve">28/F 裝天花骨2人；22/F 裝石膏板1人；20/F 裝石膏板1人；18/F 裝石膏板2人；5/F 走廊天花底板2人；2/F 走廊天花開生口 1人 </t>
    <phoneticPr fontId="1" type="noConversion"/>
  </si>
  <si>
    <t>2/F 裝吊櫃 1人</t>
    <phoneticPr fontId="1" type="noConversion"/>
  </si>
  <si>
    <t>5/F 走廊位底骨1人；3/F 裝走廊底板3人</t>
    <phoneticPr fontId="1" type="noConversion"/>
  </si>
  <si>
    <t>35/F 單位開渠墨2人；22/F 樓梯開墨2人</t>
    <phoneticPr fontId="1" type="noConversion"/>
  </si>
  <si>
    <t>28/F 單位裝喉1人</t>
    <phoneticPr fontId="1" type="noConversion"/>
  </si>
  <si>
    <t>11/F 單位痴紙帶1人</t>
    <phoneticPr fontId="1" type="noConversion"/>
  </si>
  <si>
    <r>
      <rPr>
        <b/>
        <sz val="10"/>
        <color rgb="FF000000"/>
        <rFont val="微軟正黑體"/>
        <family val="2"/>
        <charset val="136"/>
      </rPr>
      <t>吊船砌瓦</t>
    </r>
    <r>
      <rPr>
        <b/>
        <sz val="10"/>
        <color indexed="8"/>
        <rFont val="Arial"/>
        <family val="2"/>
        <charset val="136"/>
      </rPr>
      <t>2</t>
    </r>
    <r>
      <rPr>
        <b/>
        <sz val="10"/>
        <color rgb="FF000000"/>
        <rFont val="微軟正黑體"/>
        <family val="2"/>
        <charset val="136"/>
      </rPr>
      <t>人</t>
    </r>
    <phoneticPr fontId="1" type="noConversion"/>
  </si>
  <si>
    <t>18/F 走廊整消防喉轆1人；G2/F 單位整消防喉1人</t>
    <phoneticPr fontId="1" type="noConversion"/>
  </si>
  <si>
    <t>18/F 煙霧器位油油1人；12/F假天花癡紙帶1人；9/F 廁所天花癡紙帶1人；8/F 癡紙帶1人；7/F石膏板批灰2人；6/F翻灰1人；5/F 露台天花批灰1人</t>
    <phoneticPr fontId="1" type="noConversion"/>
  </si>
  <si>
    <t>28/F 裝天花骨2人；22/F 裝石膏板1人；20/F 裝石膏板1人；18/F 裝石膏板2人；15/F 房口石膏板包角 1人；11/F 走廊天花釘角 1人</t>
    <phoneticPr fontId="1" type="noConversion"/>
  </si>
  <si>
    <t>26/F 砌廚房櫃2人</t>
    <phoneticPr fontId="1" type="noConversion"/>
  </si>
  <si>
    <t>3/F 走廊位底板6人；3/F 門頭燈拉線1人</t>
    <phoneticPr fontId="1" type="noConversion"/>
  </si>
  <si>
    <t>31/F 單位天花打骨2人；28/F 單位裝底板2人；23/F 廁所裝grg 2人；21/F 走廊裝骨2人；18/F 走廊裝骨2人；15/F 走廊裝骨2人；6/F 走廊底板 2人；G2 走廊裝骨1人</t>
    <phoneticPr fontId="1" type="noConversion"/>
  </si>
  <si>
    <t>R/F 電制房埋線1人；19/F 單位MCB穿線2人</t>
    <phoneticPr fontId="1" type="noConversion"/>
  </si>
  <si>
    <t>28/F 廁所位穿線2人；18/F 裝水櫃2人；10/F 走廊底框3人；11/F 走廊裝底骨3人</t>
    <phoneticPr fontId="1" type="noConversion"/>
  </si>
  <si>
    <t>27/F製位翻灰1人；25/F批製位1人；23/F廚天花落紙帶1人；15/F批灰1人；12/F批灰1人+冷氣位批灰1人；11/F廚房位批灰1人；9/F石膏板批灰1人；2/F清場1人</t>
    <phoneticPr fontId="1" type="noConversion"/>
  </si>
  <si>
    <t>G1-33/F  H單位幕牆試水3人</t>
    <phoneticPr fontId="1" type="noConversion"/>
  </si>
  <si>
    <t>7/F 裝走廊門 1人</t>
    <phoneticPr fontId="1" type="noConversion"/>
  </si>
  <si>
    <t>7/F 裝枱面石2人</t>
    <phoneticPr fontId="1" type="noConversion"/>
  </si>
  <si>
    <t>5/F 洗露台 1人</t>
    <phoneticPr fontId="1" type="noConversion"/>
  </si>
  <si>
    <t>晴</t>
  </si>
  <si>
    <t>助理總管:</t>
    <phoneticPr fontId="1" type="noConversion"/>
  </si>
  <si>
    <t>鄒嘉文</t>
    <phoneticPr fontId="1" type="noConversion"/>
  </si>
  <si>
    <t>R/F A單位鋪隔熱板 1人
35/F D單位牆身包角 1人
31/F C&amp;G廚房瓦2人
29/F G地台瓦 1人
29/F 執牆身閪窿 1人
27/F F&amp;D廁所牆身瓦2人
26/F H廁所牆身瓦 1人
25-21/F 樓梯盪地台 3人
22/F H廚房地台瓦 2人</t>
    <phoneticPr fontId="1" type="noConversion"/>
  </si>
  <si>
    <t>22/F 垃圾房白瓦 1人
16-21/F 垃圾房白瓦掃口 1人
19/F 走廊牆身瓦 1人
19/F H露台地台瓦 1人
16/F 清瓦料垃圾 2人
11/F 執明陰角 3人
1/F 牆身滑面 1人
G2/F 單位牆身及廁所及垃圾房噴漿 3人</t>
    <phoneticPr fontId="1" type="noConversion"/>
  </si>
  <si>
    <t>30/F 裝企身骨 1人；29/F 裝天花骨2人；26/F 企身板 1人；20/F 廁所底板 2人；19/F 廁所骨架1人；9/F 走廊底板 2人；7/F 走廊低板1人</t>
    <phoneticPr fontId="1" type="noConversion"/>
  </si>
  <si>
    <r>
      <t>22/F燈兜批灰1人；16/F癡紙帶1人；11/F批灰1人；10/F墻身批灰1人+石膏板批灰1人；7/F廚廁省油1人；6/F</t>
    </r>
    <r>
      <rPr>
        <sz val="9"/>
        <rFont val="新細明體-ExtB"/>
        <family val="3"/>
        <charset val="136"/>
      </rPr>
      <t>𨋢</t>
    </r>
    <r>
      <rPr>
        <sz val="9"/>
        <rFont val="細明體"/>
        <family val="3"/>
        <charset val="136"/>
      </rPr>
      <t>口癡紙帶1人；3/F廚廁省油1人</t>
    </r>
    <phoneticPr fontId="1" type="noConversion"/>
  </si>
  <si>
    <t>30/F 單位打企身骨2人;27/F 單位裝底板2人;26/F 企身板 1人;G2 走廊裝骨1人；23/F 廁所裝grg 2人;20/F 走廊裝骨2人;11/F 走廊裝骨2人;6/F 走廊底板 2人</t>
    <phoneticPr fontId="1" type="noConversion"/>
  </si>
  <si>
    <t>25/F製位批灰1人；23/F製位翻灰1人；22/F廚天花癡紙帶1人；2/F執板房省油1人；12/F批灰1人+批冷氣位1人；11/F批灰1人；7/F廁浴室寶位省油1人；15/F廚廁翻灰1人</t>
    <phoneticPr fontId="1" type="noConversion"/>
  </si>
  <si>
    <t>35/F 牆身打炮連清 1人；33/F PD釘基仔1人；32/F 走廊打鑿1人；28/F 清垃圾1人 19/F 牆身打炮連清 2人；18/F 牆身打炮連清2人；5/F 露台保護2人</t>
    <phoneticPr fontId="1" type="noConversion"/>
  </si>
  <si>
    <t>35/F 牆身打炮連清 1人;33/F PD釘基仔1人;32/F 牆身打炮連清1人;28/F 清垃圾1人 19/F 牆身打炮連清 2人;18/F 牆身打炮連清2人;5/F 露台保護2人</t>
    <phoneticPr fontId="1" type="noConversion"/>
  </si>
  <si>
    <t>R/F 打門頂1人；33/F 牆身打炮連清 4人
15/F 牆身陣底大肚打鑿 3人；G2/F 天花針板打炮3人</t>
    <phoneticPr fontId="1" type="noConversion"/>
  </si>
  <si>
    <t>33/F 牆身打炮連清 4人；16/F 牆身打炮連清 4人；G2/F 天花針板打炮5人</t>
    <phoneticPr fontId="1" type="noConversion"/>
  </si>
  <si>
    <t>33/F 牆身打炮連清 4人;16/F 牆身打炮連清 4人;G2/F 天花針板打炮4人</t>
    <phoneticPr fontId="1" type="noConversion"/>
  </si>
  <si>
    <t>33/F 牆身打炮連清 5人;18/F 牆身打炮連清 5人;G2/F 天花針板打炮4人</t>
    <phoneticPr fontId="1" type="noConversion"/>
  </si>
  <si>
    <t>33/F 牆身打炮連清 4人；18/F 牆身打炮連清 3人；G2/F 天花針板打炮4人</t>
    <phoneticPr fontId="1" type="noConversion"/>
  </si>
  <si>
    <t>33/F 牆身打炮連清 3人;18/F 牆身打炮連清 3人
G2/F 天花針板打炮4人;G1 打垃圾糟位連清場3人</t>
    <phoneticPr fontId="1" type="noConversion"/>
  </si>
  <si>
    <r>
      <t>33/F 牆身打炮連清3人</t>
    </r>
    <r>
      <rPr>
        <sz val="9"/>
        <rFont val="Microsoft YaHei"/>
        <family val="3"/>
        <charset val="134"/>
      </rPr>
      <t>;</t>
    </r>
    <r>
      <rPr>
        <sz val="9"/>
        <rFont val="細明體"/>
        <family val="3"/>
        <charset val="136"/>
      </rPr>
      <t>21/F PD釘基仔1人</t>
    </r>
    <r>
      <rPr>
        <sz val="9"/>
        <rFont val="Microsoft YaHei"/>
        <family val="3"/>
        <charset val="134"/>
      </rPr>
      <t>;</t>
    </r>
    <r>
      <rPr>
        <sz val="9"/>
        <rFont val="細明體"/>
        <family val="3"/>
        <charset val="136"/>
      </rPr>
      <t>G1/F 打垃圾糟位連清場3人</t>
    </r>
    <r>
      <rPr>
        <sz val="9"/>
        <rFont val="Microsoft YaHei"/>
        <family val="3"/>
        <charset val="134"/>
      </rPr>
      <t>;</t>
    </r>
    <r>
      <rPr>
        <sz val="9"/>
        <rFont val="細明體"/>
        <family val="3"/>
        <charset val="136"/>
      </rPr>
      <t>G2/F 天花針板打炮3人；18/F 牆身打炮連清 3人</t>
    </r>
    <phoneticPr fontId="1" type="noConversion"/>
  </si>
  <si>
    <t>33/F 牆身打炮連清 3人；33/F 垃圾房打鑿牆身1人；21/F PD釘基仔1人;18/F 牆身打炮連清 1人；G2/F 天花針板打炮3人；G1 打垃圾糟位連清場3人</t>
    <phoneticPr fontId="1" type="noConversion"/>
  </si>
  <si>
    <t>27/F PD釘基仔2人 7/F 牆身打炮連清2人; 9/F 牆身打炮連清2人;12/F 牆身打炮連清2人;31/F 牆身打炮連清1人; 33/F 牆身打炮連清1人</t>
    <phoneticPr fontId="1" type="noConversion"/>
  </si>
  <si>
    <t>33/F 牆身打炮連清2人；17/F 清場 4人；10/F 牆身打炮連清2人;9/F 牆身打炮連清2人；7/F 牆身打炮連清2人；R/F-G1/F 恆常清場洗廁所掃樓梯 1人；27/F  PD釘基仔2人</t>
    <phoneticPr fontId="1" type="noConversion"/>
  </si>
  <si>
    <t>33/F  牆身打炮連清2人 大樓清場2人；10/F 清場垃圾槽單位垃圾2人；15/F  牆身打炮連清 2人；12/F  牆身打炮連清 2人;10/F  牆身打炮連清1人；R/F-G1/F 恆常清場洗廁所掃樓梯 2人</t>
    <phoneticPr fontId="1" type="noConversion"/>
  </si>
  <si>
    <t>R-G1/F 恆常清場 1人；33/F 牆身打炮連清 2人；12/F 牆身打炮連清 2人；10/F 牆身打炮連清 2人；1/F 垃圾槽單位清場 2人</t>
    <phoneticPr fontId="1" type="noConversion"/>
  </si>
  <si>
    <r>
      <t>拆垃圾槽前清場</t>
    </r>
    <r>
      <rPr>
        <sz val="9"/>
        <rFont val="Microsoft YaHei"/>
        <family val="3"/>
        <charset val="134"/>
      </rPr>
      <t>6人</t>
    </r>
    <r>
      <rPr>
        <sz val="9"/>
        <rFont val="細明體"/>
        <family val="3"/>
        <charset val="136"/>
      </rPr>
      <t xml:space="preserve"> 33/F  牆身打炮連清2人;12/F  牆身打炮連清2人;10/F  牆身打炮連清2人;1/F  牆身打炮連清2人</t>
    </r>
    <phoneticPr fontId="1" type="noConversion"/>
  </si>
  <si>
    <t>R-G1/F 恆常清場 1人；33/F  牆身打炮連清2人；12/F 牆身打炮連清 3人；10/F 牆身打炮連清 2人；1/F 垃圾槽單位清場 2人</t>
    <phoneticPr fontId="1" type="noConversion"/>
  </si>
  <si>
    <t>R-G1/F 恆常清場 1人；35/F  PD釘基仔1人；33/F 牆身打炮連清 3人；12/F牆身打炮連清 3人；10/F 牆身打炮連清 2人；1/F 垃圾槽單位清場 2人</t>
    <phoneticPr fontId="1" type="noConversion"/>
  </si>
  <si>
    <t>33/F 牆身打炮連清 4人；15/F 牆身打炮連清 3人;G2/F 牆身打炮連清 4人</t>
    <phoneticPr fontId="1" type="noConversion"/>
  </si>
  <si>
    <t>33/F 牆身打炮連清 3人；15/F 牆身打炮連清 3人;G2/F 牆身打炮連清3人;
G2 代工清場4人</t>
    <phoneticPr fontId="1" type="noConversion"/>
  </si>
  <si>
    <t>33/F 牆身打炮連清 4人；15/F 牆身打炮連清 4人;G2/F 牆身打炮連清3人</t>
    <phoneticPr fontId="1" type="noConversion"/>
  </si>
  <si>
    <t>35/F  PD釘基仔1人；33/F 牆身打炮連清 4人；15/F 牆身打炮連清 3人；G2/F 牆身打炮連清 3人; G2 打拈板底石屎2人</t>
    <phoneticPr fontId="1" type="noConversion"/>
  </si>
  <si>
    <r>
      <t>31/F 單位天花打骨2人；28/F 單位裝底板2人；6/F 走廊底板 2人；G2 走廊裝骨1人</t>
    </r>
    <r>
      <rPr>
        <sz val="8"/>
        <rFont val="Microsoft YaHei"/>
        <family val="3"/>
        <charset val="134"/>
      </rPr>
      <t>;</t>
    </r>
    <r>
      <rPr>
        <sz val="8"/>
        <rFont val="細明體"/>
        <family val="3"/>
        <charset val="136"/>
      </rPr>
      <t>18/F 走廊裝骨2人；12/F 走廊裝骨2人；23/F 廁所裝grg 2人；21/F 走廊裝骨2人</t>
    </r>
    <phoneticPr fontId="1" type="noConversion"/>
  </si>
  <si>
    <t>上班
人數</t>
    <phoneticPr fontId="1" type="noConversion"/>
  </si>
  <si>
    <t>上料 3人
35/F 樓梯牆身批面1人
33/F 牆身滑面 1人
32/F 自流平釘板1人
31/F 清場2人
30/F 廚房牆身瓦 2人
29/F 廁所位打針 1人
28/F 客廳地台瓦2人
26/F 樓梯剷地台1人
26/F 廁所牆身瓦1人
25/F 廁所牆身瓦1人</t>
    <phoneticPr fontId="1" type="noConversion"/>
  </si>
  <si>
    <t>25/F 地台保護1人
23/F  廁所牆身瓦1人 
18/F 走廊牆身瓦1人
17/F 牆身噴漿3人
16/F垃圾房砌墻身瓦1人
12/F 垃圾房砌墻身瓦1人
10/F 執平企直4人
9/F 平企直補灰1人
6/F 走廊砌地台瓦1人
3/F 盪樓梯2人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</si>
</sst>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aaaa"/>
    <numFmt numFmtId="178" formatCode="m&quot;月&quot;d&quot;日&quot;"/>
    <numFmt numFmtId="179" formatCode="yyyy&quot;年&quot;m&quot;月&quot;d&quot;&quot;&quot;日&quot;"/>
  </numFmts>
  <fonts count="2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5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Arial"/>
      <family val="2"/>
    </font>
    <font>
      <b/>
      <sz val="10"/>
      <name val="新細明體"/>
      <family val="1"/>
      <charset val="136"/>
    </font>
    <font>
      <b/>
      <sz val="10"/>
      <color indexed="8"/>
      <name val="Arial"/>
      <family val="2"/>
    </font>
    <font>
      <u val="double"/>
      <sz val="14"/>
      <name val="微軟正黑體"/>
      <family val="2"/>
      <charset val="136"/>
    </font>
    <font>
      <b/>
      <sz val="15"/>
      <name val="微軟正黑體"/>
      <family val="2"/>
      <charset val="136"/>
    </font>
    <font>
      <b/>
      <sz val="10"/>
      <color indexed="8"/>
      <name val="細明體"/>
      <family val="3"/>
      <charset val="136"/>
    </font>
    <font>
      <sz val="12"/>
      <name val="細明體"/>
      <family val="3"/>
      <charset val="136"/>
    </font>
    <font>
      <sz val="9"/>
      <name val="Microsoft YaHei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0"/>
      <color indexed="8"/>
      <name val="Arial"/>
      <family val="2"/>
      <charset val="136"/>
    </font>
    <font>
      <b/>
      <sz val="10"/>
      <color rgb="FF000000"/>
      <name val="微軟正黑體"/>
      <family val="2"/>
      <charset val="136"/>
    </font>
    <font>
      <sz val="9"/>
      <name val="新細明體-ExtB"/>
      <family val="3"/>
      <charset val="136"/>
    </font>
    <font>
      <sz val="9"/>
      <name val="微軟正黑體"/>
      <family val="3"/>
      <charset val="134"/>
    </font>
    <font>
      <sz val="11"/>
      <color theme="1"/>
      <name val="Calibri"/>
      <family val="2"/>
    </font>
    <font>
      <b/>
      <sz val="11"/>
      <color rgb="FFFF0000"/>
      <name val="微軟正黑體"/>
      <family val="2"/>
      <charset val="136"/>
    </font>
    <font>
      <b/>
      <sz val="11"/>
      <color indexed="8"/>
      <name val="細明體"/>
      <family val="3"/>
      <charset val="136"/>
    </font>
    <font>
      <sz val="8"/>
      <name val="細明體"/>
      <family val="3"/>
      <charset val="136"/>
    </font>
    <font>
      <sz val="8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7" fillId="0" borderId="0" xfId="0" applyFont="1" applyAlignme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right"/>
    </xf>
    <xf numFmtId="178" fontId="6" fillId="0" borderId="0" xfId="0" applyNumberFormat="1" applyFont="1" applyAlignment="1"/>
    <xf numFmtId="177" fontId="4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Continuous" vertical="center"/>
    </xf>
    <xf numFmtId="0" fontId="4" fillId="0" borderId="12" xfId="0" applyFont="1" applyBorder="1" applyAlignment="1">
      <alignment horizontal="centerContinuous" vertical="center"/>
    </xf>
    <xf numFmtId="0" fontId="4" fillId="0" borderId="13" xfId="0" applyFont="1" applyBorder="1" applyAlignment="1">
      <alignment horizontal="centerContinuous" vertical="center"/>
    </xf>
    <xf numFmtId="0" fontId="5" fillId="0" borderId="13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Continuous" vertical="center"/>
    </xf>
    <xf numFmtId="0" fontId="5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centerContinuous" vertical="center"/>
    </xf>
    <xf numFmtId="0" fontId="9" fillId="0" borderId="24" xfId="0" applyFont="1" applyBorder="1" applyAlignment="1">
      <alignment horizontal="right" vertical="center"/>
    </xf>
    <xf numFmtId="0" fontId="13" fillId="0" borderId="0" xfId="0" applyFont="1" applyAlignment="1"/>
    <xf numFmtId="0" fontId="5" fillId="0" borderId="1" xfId="0" applyFont="1" applyBorder="1" applyAlignment="1"/>
    <xf numFmtId="0" fontId="4" fillId="0" borderId="1" xfId="0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28" xfId="0" applyFont="1" applyBorder="1" applyAlignment="1">
      <alignment horizontal="centerContinuous" vertical="center"/>
    </xf>
    <xf numFmtId="0" fontId="4" fillId="0" borderId="16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5" fillId="0" borderId="16" xfId="0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Continuous" vertical="center"/>
    </xf>
    <xf numFmtId="0" fontId="15" fillId="0" borderId="0" xfId="0" applyFont="1" applyAlignme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9" fillId="0" borderId="32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7" fillId="0" borderId="1" xfId="0" applyFont="1" applyBorder="1" applyAlignment="1"/>
    <xf numFmtId="0" fontId="5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1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7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 textRotation="255"/>
    </xf>
    <xf numFmtId="0" fontId="9" fillId="0" borderId="28" xfId="0" applyFont="1" applyBorder="1" applyAlignment="1">
      <alignment horizontal="center" vertical="center" textRotation="255"/>
    </xf>
    <xf numFmtId="0" fontId="16" fillId="0" borderId="26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27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 textRotation="255"/>
    </xf>
    <xf numFmtId="0" fontId="11" fillId="0" borderId="14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3" fillId="0" borderId="26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0" borderId="27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center" textRotation="255"/>
    </xf>
    <xf numFmtId="0" fontId="18" fillId="0" borderId="1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14" fontId="4" fillId="0" borderId="1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25" fillId="0" borderId="26" xfId="0" applyFont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6" fillId="0" borderId="27" xfId="0" applyFont="1" applyBorder="1" applyAlignment="1">
      <alignment horizontal="center" vertical="top" wrapText="1"/>
    </xf>
    <xf numFmtId="0" fontId="9" fillId="0" borderId="19" xfId="0" applyFont="1" applyBorder="1" applyAlignment="1">
      <alignment vertical="top" wrapText="1"/>
    </xf>
    <xf numFmtId="0" fontId="9" fillId="0" borderId="31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18" fillId="0" borderId="13" xfId="0" applyFont="1" applyBorder="1" applyAlignment="1">
      <alignment horizontal="left" vertical="center"/>
    </xf>
    <xf numFmtId="0" fontId="27" fillId="0" borderId="19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E7D09E9-0C9C-4142-A00B-212B76A77DAC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821BBBC-66D2-4D33-9F76-3B6E29FCE9C9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AB315071-9DA9-40CB-A84E-A2B3761C161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6CA76290-EE51-4987-886B-5279772BE14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8E4908A-8124-4F40-9884-A96D5AB8541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0332612-A230-4AB5-9C29-F8C35E4FD3A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FD698AAD-BF7D-46EF-A95D-80D401E0E26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7ECFFB65-E353-4430-8681-A56297D79CA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27D9A019-CA35-4D5E-88ED-448757949455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68BD96F-0CA0-4C08-BF57-AC67A7B2B7D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B6AA236-7F92-4504-9F42-7C1C4082E87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1FF931D-66F2-418C-8006-5FC353929350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A6224986-391C-4D20-B90A-7FDCF282055E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B1902ED-D889-475F-8FB3-54969096739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59B7B97B-F929-4108-BBA3-1640C092397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E00F2D9B-1530-4DE0-A5BE-7802971D7DE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79446F34-74D8-4A1D-8692-5FF75D9985E3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3AC37037-EA41-4692-A106-5CA32F48CF6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C9419DE-2EDB-4644-BC09-C9D72B7D6ED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0B7D32D-2D30-4FD1-874E-E063DC286B4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A385CC1-98B0-4A47-B774-DB04F5FF437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3B26BA20-1212-4BDB-B211-A80CB7B936DD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4E6215D-1D70-452F-AC79-F7CE18FE7CB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97539889-A050-4BE8-B2F5-802323C72DF1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B63298E8-FB0F-4EA4-8181-71D1F5385C05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2AB60465-A771-42E2-AF48-A94FAB734D44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EC81A7A7-A750-4C9B-A89A-FA3A19633A71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501CEBB-CF48-49C7-B1C5-616CE035C94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73760A2-575D-44F9-A81B-8F9DB075B9D1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6A748320-2BF7-484B-8182-FF753FDEFFAB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8E5AAD2E-AC83-4435-9566-5D243BD38C6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73DD2E40-9614-4544-B7C5-202C0EB9BBC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A916D1EF-6D53-419F-B81C-2F64DD2EA76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DF2E59A9-272D-4922-BD1B-EB4196C99B5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1ACA5411-F428-43E5-A823-9C995ED2D0A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F40F16D6-EE7D-453F-BC0B-1BBACBC810EA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AC157F3-7FAD-4B26-B6D8-AA05204660B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B613C8F-C5EB-44A9-9FD3-D8488BD8505A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5BF7965D-8ECC-43C0-AFE0-023E3798F98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72D4F3AC-670A-4FA4-B509-18D859147AE0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837E7C8A-A1AF-4EC4-8CF4-571B89EE225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BFA82BB1-6315-4942-8031-107CEC0E8E8B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DC075A69-817C-472C-95CA-C338268E629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C0A51734-0413-40EA-8616-2C67A2EB6BD4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F3BA2799-5E5E-4C88-8AA5-5B558E92D4EE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2ECDED5-6E81-4409-884F-7DD1D3E726A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DDDBDB3-6D41-4EBC-A946-17D4703987AF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E56E1E5-AF26-4D0A-9161-749FEEB8B78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5A6E5B3E-15FC-4DCE-9ED8-6142233A110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537F18F1-BD3C-414F-B4A2-1FC433F8630D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9EF7FCF6-2A28-4F84-969C-2C0C8213CC30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87483A9-8F7C-4E15-B584-497AFCECCCBC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779B43E1-5007-43DF-9036-BA0AD72F82C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4C1BBE1D-7C89-453B-978F-72D358D46B7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59B450F-A22E-4A14-B4ED-D2EF722F634E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C4FD728-9B3E-49EF-B634-420CAB7A925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5F240EFB-41FF-4B75-B6E7-4D0AE9D3877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C357D052-ACEE-4C49-81E2-EE7613357BB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A53A933D-957F-4ABB-A18F-F3255011F7A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FF2D3429-6EE5-4E05-BE3A-95551F60B615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54C26A93-0E28-42E6-A6E7-C00714C0F55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D9E0CBC5-47B0-405D-9B6E-D040313A6DD4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2CC3A745-B350-4977-B59B-7AC97F2D1B0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036238A-F79F-4FCE-B385-A1167355E69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FFCDE17-BF58-4C2F-8D7E-D318BC560E2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5042BE39-7F39-4F45-81D9-EEFC520E6A55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FBEDBBD5-BD09-436B-9EB2-CE765A7FE120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5C65ACD5-8E6B-4EDE-ABDE-84E7FEB08FF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712A7D23-DBF7-40E7-A2EC-333EB35DFEF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1D9A5EAA-8B61-471C-BDA6-C63951F1FCC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E38AAC0C-B52B-4671-A5F2-9E7398C5601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A6C27FE9-ED28-40D3-B5C0-8BCF5286C20B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2CCBA16-1BEC-48BA-9009-F49B5710318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6B433AB-8C20-43BC-955F-7FBBC601A028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A51199FA-3447-4D35-AD18-1A610A6115F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30F53D7-DA5B-46BE-8E4D-0789C9541180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126ED0E2-58E6-4446-9CAB-7B52CEEB80C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3426E6BC-C452-4D15-8253-B2989DE6DB1C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19A49319-8CCB-432C-8D99-5BFD9AAECAB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A7F54ED-E47E-4C76-B5F4-5ADB134FB26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95A14593-5D14-49AE-BC1B-B1D271848F4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A150CA9-CC38-4C7E-8942-669B862A6BD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AD20F57-81DF-4A89-B6CC-CBB60B059BB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AE09AC5C-9574-47F1-A85D-D749D31EDE2D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9FD6C847-31DA-4BF4-AE58-F1EF43A7861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C5824897-BED9-4724-8920-BD26248F122D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1441A9AA-0158-4B9A-B0A5-610A6D05BDE1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4B874312-EA0A-4C7F-9650-92D7B9B2F0D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86F40633-9E9F-4CB6-8200-0B5E25869F6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8A36B55D-B922-4809-BA7B-0978CAF711A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F414827-C612-4740-97F8-3F57AF3604E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0A1FE6B-4AB0-4C65-9FDF-DB31D7CE64F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862357AC-D635-48B6-80F0-98E4BB1186CE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2FB8E05C-75AA-4645-A96F-354EB2D86EA8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FBAB8E72-CC91-4A6B-8471-6DCB41C1E7C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3F595353-7A56-4F0C-A74A-8C6272333F80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1382F200-557C-4C85-AFBE-028BA262545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F4DE6E29-B2E3-4752-992C-125430DAE73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1798AC8B-268B-4664-9AA0-239AA2039E1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4E12D14-513B-4B90-B46C-FC8A50F27756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AC57734-E0B7-481C-841B-8CA8A2D211A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A2818EC4-5EC8-4168-91A8-48D24608C32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E290B423-AB6B-4525-925C-5ACC672A984B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78B907B7-8CA8-45DF-A4E4-3BD8DE168F5A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E8554BE1-96D2-4B23-93EE-1D3BDF16BDE7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C1F57DBF-1FEF-4AB1-9E7D-EFD38790DC98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C7574F1A-A43A-4AB6-A1C2-BA0BF69CDC4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7B8D92C9-C071-4328-99A6-03075ABA5375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1B72225-DFC7-4DD9-ADC2-FF7537DC1E70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B1198DA-2874-4625-A36F-6155DCC4DE1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943C43F-90E3-4BC6-A5C9-64F83685695C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43B80802-2829-4502-B699-F9FE732982D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EC11B164-FB27-4412-8729-BFD1F2DC8801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408D0089-CF7C-431C-B3A8-3180A4ECCA6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AC45074-895F-40CA-AFDA-B63317D719A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978CDBE0-F8D2-4A3B-9929-AE640302621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4D74DF88-2186-4BA6-BACB-8180EE9C8F06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ABCA0ED-26BF-4A33-9898-C49DE9114BD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B244971-0809-4911-AF7F-C012E5E33D50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4835812-70DA-4ED6-B4AC-CD2EBF9CE45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75FB5DF0-1E69-4FE1-BA25-76E4B0A2F58B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399BCA1A-2381-4C67-9B6F-3474F2C7A893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C1B39A92-8DB3-40A2-8CFE-7AFB58ED1D2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5B5A236A-DFA8-4E27-9322-BDFF3F426F25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83A681F-360D-4B58-8BD4-F58E4822FC33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A9EE3568-808D-4C74-80C4-35D02644927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19799A9-5598-420D-89B2-2231A3E6239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E01AABC-5CF9-48D4-BF13-00AA98724B8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4DEB40C9-1BAB-46E2-9377-373387BC2D19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134EEE28-2EB5-48F5-BADD-01C2CB396EFC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8753FB87-C848-4862-80C9-4F6C796485C0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C65502E3-74D8-49F3-83A2-40E9E139C7DE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556345F8-3557-43F6-9B2F-2B803D209688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B967B680-B191-4BBB-877F-03A51124950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9498F4E4-3F1A-4003-BBA9-3A95B0D0633C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EB15F58-3765-43A2-9009-C6883D6562D0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A0329BB-5CF9-4060-9F75-E48FC6B4BA8A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DBE12DB6-1626-412F-B8B5-45F9BBA3A9C2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228B3F6E-68D4-4FD9-AE3D-1E678D3623D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0A58F6C-E503-4321-B90F-FA76EB56080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E3320D60-2AED-4137-A9DE-CF00526BF987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B6A5396C-0486-499A-A9EE-CC5C9AEB6B86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0A92E8D-6A9B-4C52-BBB6-F4CCD9ACF86D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762B853B-E56D-42F8-BD7D-5880E814F2D7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FE549D0-CC22-4716-8834-6C01982561E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7C99186-AA14-457A-991B-152946DC14E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9CA16FBB-F334-4C33-9D48-D46AEF0502EA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48A224DD-5A0B-4740-91C5-A6F4318C9A54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1216A183-4B4C-4677-8BCE-0CE1126862D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FAD090DC-CD94-420F-B2ED-2831309D350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E7D976AB-E6EA-4C84-9F19-66135171DEF4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BF501A59-14B7-4211-B49D-88C3BB9798B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37668CF0-5365-405C-B124-25320B96B8FB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9AAD8BD-DC95-44CE-9877-E0678F3D051D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3BBDC6C-1DEE-44EF-93B3-32BAAB9AB0F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09D813C-E569-421F-AC94-15B2A5A6718F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355F4812-8581-4297-924E-DA0732FF4A5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E9AF798F-B1CD-45DD-8BF4-9B97187A442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751C3AF0-D280-4050-ADAB-4FADD882E1E1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CEE5A3A8-A0A9-4DCB-9D53-35A8A9C96484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47B25C6C-5DCF-4E3A-A8C0-9F900F89E05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F5681FD8-B4D9-4019-9078-B29ACEBF656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57A5E3B-1200-4A6E-B582-5F2518B52D7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FCBE33C-5004-4EB0-A1F3-A4EB8DF26970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2922338-A41C-463A-90C5-109D80D999A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BF5A93C9-E1FB-42DF-8E54-D522B61E749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658D8BF0-C431-49F3-962D-31E8675E2C6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42F36245-CB89-4857-BC72-725E609188FB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49981102-18A8-4F50-B021-2D9B80A29F7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CBDE4838-9C07-424C-8C04-18925A80098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7B1DAFEA-7EDA-41C7-84C5-B5127FB64C97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F2264B4-1C35-4244-AD9D-5BE7C075B6D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28558D7-C5F2-4022-B076-9A2A5E5AB0D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900E375-5E0E-442B-9ACC-CCF4FC38D776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BDF5135-9CFE-4833-B342-D41282D30AD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1EE9BF75-12BB-45A8-87D3-DE7562F962B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EEADA99-EA64-4C04-885A-AE93FD5145CE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1B4907D2-4703-4C6F-B932-9E38BF31F97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42D455F9-A4CB-4B50-9FC4-C17B40EB0E4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0C0B45FB-EFBD-4BD1-831D-FF7B43039F7C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C1502FB-C783-4962-9FE4-97425DA99F1B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8B0E5C8-C2D5-41F3-B188-FE402BD005C7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409FEACB-7C08-45B1-886B-31E5A5F5623F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B6B3B8FA-ED23-4AB0-A118-BD43F1A1B55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3ABF40A8-0D57-41BA-B4FA-85AC65D5894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677DFDA5-DCD1-4BBD-A6F7-E4EBF0FC5FB2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77AB7ADC-6ACB-429C-8465-B72B9E340B4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9041A050-EBB3-411A-AAD5-C6F6E51D7990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9DC85EEA-0839-4325-81C1-27D71F402E3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FA7C7CB-CBF0-49E7-B7E1-3C61AAADCA2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E51E83A-F909-4FD3-A8D9-DA452BBBCF3F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B5B5DE0-09A1-42EC-BCEC-7FB766DDEDC5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69823634-D001-41A5-BD4B-FBADCFA67B3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CFA14AC0-0082-4990-8CFC-E2F72D9C8BF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9A96EFA-2122-48B5-969E-6025DE18F049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2F5C55F6-281F-45A8-B2CD-8EF19BD5322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75CD04FA-94D7-4137-AB0D-A3E8256CD21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FE75D7CD-C696-4B2F-B2A5-9C515DF5F23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F452E57-0D47-4FBA-84A5-F6F4CD1E6F9C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306F5C2-7C4E-45CC-87D4-8EBB5D2265F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DB5D68AD-4995-4A7D-A512-D1955A4D88F7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6C725C2A-1F4F-4E74-AF19-9D3E4836DCBC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F33ED48-5268-425D-AEB8-17A41F651F0D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37278EBC-ADF6-463D-9549-23E710AA8DBD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5282123C-B42E-4025-AA7C-874F39AE4758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6FC81F8-9524-436A-9D52-BF33B1D69816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BCF64014-5497-4C9B-8894-AD9AC5170BE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CA508E8-5111-4C01-B79C-51DDA6345A1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624D870-6333-431D-B891-C409AFE799D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38BC2F82-77E2-459D-8ABF-7BD952C8DCFE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C5B7054-EFB0-43F2-A295-E7C853C24223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245AFB9C-5BAB-45AA-A500-55121B46F5EA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A2ECEEA3-C49A-426E-B2CE-06419045641F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3B4A83A3-EB75-4209-B8F1-8B0F7E1C44C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50292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DC6D669-7818-46DF-B469-A30110C4C91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F378A832-1FFE-4FD6-848E-41DC0B72FF6E}"/>
            </a:ext>
          </a:extLst>
        </xdr:cNvPr>
        <xdr:cNvSpPr>
          <a:spLocks noChangeShapeType="1"/>
        </xdr:cNvSpPr>
      </xdr:nvSpPr>
      <xdr:spPr bwMode="auto">
        <a:xfrm>
          <a:off x="5341620" y="1333500"/>
          <a:ext cx="10668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8F18F60-EE6B-45F6-8CA9-C741B5309F4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26AB7DD-731B-4467-880D-114E581FB0C5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73B0315-7F5F-4E46-A56E-9EB68E51234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E0F23DF4-D4DF-46ED-918B-DAF40981B9C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64D535A6-6901-4F5D-BE14-6EB016995404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6497D065-B21A-4A2B-870A-FE5F9A86941F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5A4ADD62-E514-4D1D-8CBE-3483AD9EBDF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5D407BFF-38C5-425D-AA85-788214C835B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0B426D4D-A293-4E2F-96CE-4DE8D95880C1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13D7F11-DF20-46B7-852D-529F815D77E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69BE0A24-C496-4125-9C48-CBD0AEBD85B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D94F226-2F6E-44A5-BD94-54834D6F9170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79EE8740-F6BD-413E-A090-F369BD594B55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141C153-5C30-4E68-8A88-7C562DA62FDF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F3D00EEF-EEDE-44FB-AECA-1BB40722908D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BF6CFB1-2AD1-476F-BC14-5DB9283F186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361DA358-1BC9-4319-8FAB-B4CB507A2BDA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3DA39889-8B90-4E59-8187-9E40DE3D4D66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E3F0249-8E1C-4C34-B578-56D86C4F157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EDCE08B-B59C-4D27-B2B6-2BF97111AF8C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62A8D750-F6E9-494C-99D2-A99C41AC8EDD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3508C383-13B2-48A4-A479-C9AD391A1AF6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31B156C8-7FD7-46A5-9CED-6D368164BE5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CBD68018-61C4-442D-8446-B8CCA6D4CE6D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9258799F-D1D3-4A06-8C6E-E7E43376BFC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E18C878A-085E-40CE-BAD6-7929FFC15718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AD8C2C30-9658-4CDD-A68E-BF322A4CB43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7D4CC42-1016-4A26-A5BE-16C1DA80918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BEC86C8-9819-4EA5-83E5-77E64A5FF2B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842981B-487B-4DF5-960B-FE66913C038F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61B1D87F-A8E2-4CC5-BCD7-4D656B2CB45F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96EAE53F-DC05-4D09-8948-A49AF48A3E31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CB98504C-478B-4777-BFE0-CB00BCDC6B4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4FFADDEA-9D7A-4FE2-ACA5-F432D810A689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1FCE87D2-DFC8-4CB2-99D5-1362A06A99F2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93E6B2FD-6ADF-4C70-9D3B-B6B927A3FE9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A8FE148-58AF-4E59-9ABC-4AA0F85E43DB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EFDC55E-6478-452F-8920-F3F1112DEFDB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10D02FAB-8564-4DC3-B318-270A0E4ADFA7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965C8B7B-1A23-4720-842F-F6F6DF19F7E1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5CD492B-8BD6-458A-A2BF-EDEB4CE1798F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2AFC6972-9DDB-48D6-A165-0F612F8B6580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AF510570-43EB-47BF-8ED1-2511E1A6FF92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6C189E44-6255-4300-8EA3-38159285AD48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E45E2355-02D0-4F95-B0CE-3A72374184FE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675A902-C178-4370-8D3C-29BA7DD439CB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D676D0D-4BE4-4F2C-ACDF-8DDF8AD989CE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0B48341-0844-42CB-B666-198717952038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B879B23D-9538-4756-806E-34176BD40B17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FBC2CE0-B96A-40EF-8A9C-93AA7497CE08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16F1C4C-736C-4B13-881C-17D0241F94D4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</xdr:row>
      <xdr:rowOff>15240</xdr:rowOff>
    </xdr:from>
    <xdr:to>
      <xdr:col>1</xdr:col>
      <xdr:colOff>243840</xdr:colOff>
      <xdr:row>8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AEA5D5B5-00BF-4721-AA77-34F6A65CEDAA}"/>
            </a:ext>
          </a:extLst>
        </xdr:cNvPr>
        <xdr:cNvSpPr>
          <a:spLocks noChangeShapeType="1"/>
        </xdr:cNvSpPr>
      </xdr:nvSpPr>
      <xdr:spPr bwMode="auto">
        <a:xfrm>
          <a:off x="7620" y="1348740"/>
          <a:ext cx="483870" cy="3943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</xdr:row>
      <xdr:rowOff>0</xdr:rowOff>
    </xdr:from>
    <xdr:to>
      <xdr:col>30</xdr:col>
      <xdr:colOff>0</xdr:colOff>
      <xdr:row>8</xdr:row>
      <xdr:rowOff>38100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AFF1AB17-4B19-40DB-AAC7-3F228601AABF}"/>
            </a:ext>
          </a:extLst>
        </xdr:cNvPr>
        <xdr:cNvSpPr>
          <a:spLocks noChangeShapeType="1"/>
        </xdr:cNvSpPr>
      </xdr:nvSpPr>
      <xdr:spPr bwMode="auto">
        <a:xfrm>
          <a:off x="8001000" y="1533525"/>
          <a:ext cx="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6</xdr:row>
      <xdr:rowOff>0</xdr:rowOff>
    </xdr:from>
    <xdr:to>
      <xdr:col>24</xdr:col>
      <xdr:colOff>7620</xdr:colOff>
      <xdr:row>8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AD15417D-5733-41E2-B610-43CA79FE06D3}"/>
            </a:ext>
          </a:extLst>
        </xdr:cNvPr>
        <xdr:cNvSpPr>
          <a:spLocks noChangeShapeType="1"/>
        </xdr:cNvSpPr>
      </xdr:nvSpPr>
      <xdr:spPr bwMode="auto">
        <a:xfrm>
          <a:off x="4960620" y="1333500"/>
          <a:ext cx="190500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FBED-E3B9-4BA5-AC5E-D9D2E52B274B}">
  <sheetPr>
    <pageSetUpPr fitToPage="1"/>
  </sheetPr>
  <dimension ref="A1:AM187"/>
  <sheetViews>
    <sheetView view="pageBreakPreview" topLeftCell="A30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1224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46113</v>
      </c>
      <c r="Y5" s="55"/>
      <c r="Z5" s="55"/>
      <c r="AA5" s="55"/>
      <c r="AB5" s="56">
        <f>WEEKDAY(X5)</f>
        <v>4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81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4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380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10</v>
      </c>
      <c r="I30" s="103"/>
      <c r="J30" s="26" t="s">
        <v>22</v>
      </c>
      <c r="K30" s="126" t="s">
        <v>381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8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0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8</v>
      </c>
      <c r="I39" s="103"/>
      <c r="J39" s="26" t="s">
        <v>22</v>
      </c>
      <c r="K39" s="126" t="s">
        <v>382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8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384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4</v>
      </c>
      <c r="I41" s="103"/>
      <c r="J41" s="26" t="s">
        <v>22</v>
      </c>
      <c r="K41" s="104" t="s">
        <v>376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2</v>
      </c>
      <c r="I42" s="103"/>
      <c r="J42" s="26" t="s">
        <v>22</v>
      </c>
      <c r="K42" s="104" t="s">
        <v>383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10</v>
      </c>
      <c r="I44" s="103"/>
      <c r="J44" s="26" t="s">
        <v>54</v>
      </c>
      <c r="K44" s="126" t="s">
        <v>412</v>
      </c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8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37.2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34</v>
      </c>
      <c r="I46" s="142"/>
      <c r="J46" s="42" t="s">
        <v>22</v>
      </c>
      <c r="K46" s="143" t="s">
        <v>425</v>
      </c>
      <c r="L46" s="144"/>
      <c r="M46" s="144"/>
      <c r="N46" s="144"/>
      <c r="O46" s="144"/>
      <c r="P46" s="144"/>
      <c r="Q46" s="144"/>
      <c r="R46" s="144"/>
      <c r="S46" s="144"/>
      <c r="T46" s="144" t="s">
        <v>426</v>
      </c>
      <c r="U46" s="144"/>
      <c r="V46" s="144"/>
      <c r="W46" s="144"/>
      <c r="X46" s="145"/>
      <c r="Y46" s="131" t="s">
        <v>379</v>
      </c>
      <c r="Z46" s="132"/>
      <c r="AA46" s="132"/>
      <c r="AB46" s="132"/>
      <c r="AC46" s="132"/>
      <c r="AD46" s="133"/>
    </row>
    <row r="47" spans="1:30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46113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46113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261C-F1D7-4DF8-A0EB-716418E2D8AD}">
  <sheetPr>
    <pageSetUpPr fitToPage="1"/>
  </sheetPr>
  <dimension ref="A1:AM187"/>
  <sheetViews>
    <sheetView view="pageBreakPreview" topLeftCell="A29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1225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46114</v>
      </c>
      <c r="Y5" s="55"/>
      <c r="Z5" s="55"/>
      <c r="AA5" s="55"/>
      <c r="AB5" s="56">
        <f>WEEKDAY(X5)</f>
        <v>5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87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 ht="27.75" customHeight="1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5</v>
      </c>
      <c r="I17" s="103"/>
      <c r="J17" s="26" t="s">
        <v>54</v>
      </c>
      <c r="K17" s="104" t="s">
        <v>367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>
        <v>1</v>
      </c>
      <c r="I21" s="103"/>
      <c r="J21" s="26" t="s">
        <v>22</v>
      </c>
      <c r="K21" s="104" t="s">
        <v>377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6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1</v>
      </c>
      <c r="I24" s="103"/>
      <c r="J24" s="26" t="s">
        <v>22</v>
      </c>
      <c r="K24" s="104" t="s">
        <v>371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5</v>
      </c>
      <c r="I30" s="103"/>
      <c r="J30" s="26" t="s">
        <v>22</v>
      </c>
      <c r="K30" s="104" t="s">
        <v>372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378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0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9</v>
      </c>
      <c r="I39" s="103"/>
      <c r="J39" s="26" t="s">
        <v>22</v>
      </c>
      <c r="K39" s="104" t="s">
        <v>373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4</v>
      </c>
      <c r="I40" s="103"/>
      <c r="J40" s="26" t="s">
        <v>22</v>
      </c>
      <c r="K40" s="104" t="s">
        <v>375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4</v>
      </c>
      <c r="I41" s="103"/>
      <c r="J41" s="26" t="s">
        <v>22</v>
      </c>
      <c r="K41" s="104" t="s">
        <v>376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1</v>
      </c>
      <c r="I42" s="103"/>
      <c r="J42" s="26" t="s">
        <v>22</v>
      </c>
      <c r="K42" s="104" t="s">
        <v>374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 ht="16.5" customHeight="1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38.2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15</v>
      </c>
      <c r="I44" s="103"/>
      <c r="J44" s="26" t="s">
        <v>54</v>
      </c>
      <c r="K44" s="104" t="s">
        <v>413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32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35</v>
      </c>
      <c r="I46" s="142"/>
      <c r="J46" s="42" t="s">
        <v>22</v>
      </c>
      <c r="K46" s="135" t="s">
        <v>370</v>
      </c>
      <c r="L46" s="136"/>
      <c r="M46" s="136"/>
      <c r="N46" s="136"/>
      <c r="O46" s="136"/>
      <c r="P46" s="136"/>
      <c r="Q46" s="136"/>
      <c r="R46" s="136"/>
      <c r="S46" s="136"/>
      <c r="T46" s="136" t="s">
        <v>368</v>
      </c>
      <c r="U46" s="136"/>
      <c r="V46" s="136"/>
      <c r="W46" s="136"/>
      <c r="X46" s="137"/>
      <c r="Y46" s="131" t="s">
        <v>369</v>
      </c>
      <c r="Z46" s="132"/>
      <c r="AA46" s="132"/>
      <c r="AB46" s="132"/>
      <c r="AC46" s="132"/>
      <c r="AD46" s="133"/>
    </row>
    <row r="47" spans="1:30" ht="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46114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46114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D48B-4F38-481B-8023-F093E3F2084C}">
  <sheetPr>
    <pageSetUpPr fitToPage="1"/>
  </sheetPr>
  <dimension ref="A1:AM187"/>
  <sheetViews>
    <sheetView view="pageBreakPreview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1226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46115</v>
      </c>
      <c r="Y5" s="55"/>
      <c r="Z5" s="55"/>
      <c r="AA5" s="55"/>
      <c r="AB5" s="56">
        <f>WEEKDAY(X5)</f>
        <v>6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31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>
        <v>0</v>
      </c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146" t="s">
        <v>352</v>
      </c>
      <c r="Z12" s="147"/>
      <c r="AA12" s="147"/>
      <c r="AB12" s="147"/>
      <c r="AC12" s="147"/>
      <c r="AD12" s="148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>
        <v>0</v>
      </c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>
        <v>0</v>
      </c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>
        <v>0</v>
      </c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>
        <v>0</v>
      </c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0</v>
      </c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0</v>
      </c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>
        <v>0</v>
      </c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2</v>
      </c>
      <c r="I20" s="103"/>
      <c r="J20" s="26" t="s">
        <v>54</v>
      </c>
      <c r="K20" s="104" t="s">
        <v>365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>
        <v>0</v>
      </c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0</v>
      </c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0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0</v>
      </c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>
        <v>0</v>
      </c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>
        <v>0</v>
      </c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0</v>
      </c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0</v>
      </c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0</v>
      </c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5</v>
      </c>
      <c r="I30" s="103"/>
      <c r="J30" s="26" t="s">
        <v>54</v>
      </c>
      <c r="K30" s="104" t="s">
        <v>364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>
        <v>0</v>
      </c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>
        <v>0</v>
      </c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>
        <v>0</v>
      </c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0</v>
      </c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0</v>
      </c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0</v>
      </c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>
        <v>0</v>
      </c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>
        <v>4</v>
      </c>
      <c r="I38" s="103"/>
      <c r="J38" s="26" t="s">
        <v>54</v>
      </c>
      <c r="K38" s="104" t="s">
        <v>363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5</v>
      </c>
      <c r="I39" s="103"/>
      <c r="J39" s="26" t="s">
        <v>22</v>
      </c>
      <c r="K39" s="104" t="s">
        <v>362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0</v>
      </c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361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0</v>
      </c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0</v>
      </c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0</v>
      </c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>
        <v>0</v>
      </c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31.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13</v>
      </c>
      <c r="I46" s="142"/>
      <c r="J46" s="42" t="s">
        <v>22</v>
      </c>
      <c r="K46" s="138" t="s">
        <v>366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46115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46115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AD1:AD2"/>
    <mergeCell ref="AA1:AC2"/>
    <mergeCell ref="Z1:Z2"/>
    <mergeCell ref="X1:Y2"/>
    <mergeCell ref="A9:B10"/>
    <mergeCell ref="E44:G44"/>
    <mergeCell ref="H44:I44"/>
    <mergeCell ref="K44:X44"/>
    <mergeCell ref="Y44:AD44"/>
    <mergeCell ref="B41:D41"/>
    <mergeCell ref="B42:D42"/>
    <mergeCell ref="E42:G42"/>
    <mergeCell ref="H42:I42"/>
    <mergeCell ref="K42:X42"/>
    <mergeCell ref="Y42:AD42"/>
    <mergeCell ref="E41:G41"/>
    <mergeCell ref="H41:I41"/>
    <mergeCell ref="K41:X41"/>
    <mergeCell ref="Y41:AD41"/>
    <mergeCell ref="B43:D43"/>
    <mergeCell ref="E43:G43"/>
    <mergeCell ref="H43:I43"/>
    <mergeCell ref="K43:X43"/>
    <mergeCell ref="Y43:AD43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X46"/>
    <mergeCell ref="Y46:AD46"/>
    <mergeCell ref="B44:D44"/>
    <mergeCell ref="B40:D40"/>
    <mergeCell ref="E40:G40"/>
    <mergeCell ref="H40:I40"/>
    <mergeCell ref="K40:X40"/>
    <mergeCell ref="Y40:AD40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242E-DBC5-4923-A3CD-AE1003129C80}">
  <sheetPr>
    <pageSetUpPr fitToPage="1"/>
  </sheetPr>
  <dimension ref="A1:AM187"/>
  <sheetViews>
    <sheetView view="pageBreakPreview" topLeftCell="A21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1227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46116</v>
      </c>
      <c r="Y5" s="55"/>
      <c r="Z5" s="55"/>
      <c r="AA5" s="55"/>
      <c r="AB5" s="56">
        <f>WEEKDAY(X5)</f>
        <v>7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31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146" t="s">
        <v>352</v>
      </c>
      <c r="Z12" s="147"/>
      <c r="AA12" s="147"/>
      <c r="AB12" s="147"/>
      <c r="AC12" s="147"/>
      <c r="AD12" s="148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355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2</v>
      </c>
      <c r="I20" s="103"/>
      <c r="J20" s="26" t="s">
        <v>54</v>
      </c>
      <c r="K20" s="104" t="s">
        <v>360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357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>
        <v>3</v>
      </c>
      <c r="I38" s="103"/>
      <c r="J38" s="26" t="s">
        <v>54</v>
      </c>
      <c r="K38" s="104" t="s">
        <v>359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5</v>
      </c>
      <c r="I39" s="103"/>
      <c r="J39" s="26" t="s">
        <v>22</v>
      </c>
      <c r="K39" s="104" t="s">
        <v>358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/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32.2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11</v>
      </c>
      <c r="I46" s="142"/>
      <c r="J46" s="42" t="s">
        <v>22</v>
      </c>
      <c r="K46" s="138" t="s">
        <v>356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46116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46116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AD1:AD2"/>
    <mergeCell ref="AA1:AC2"/>
    <mergeCell ref="Z1:Z2"/>
    <mergeCell ref="X1:Y2"/>
    <mergeCell ref="A9:B10"/>
    <mergeCell ref="E44:G44"/>
    <mergeCell ref="H44:I44"/>
    <mergeCell ref="K44:X44"/>
    <mergeCell ref="Y44:AD44"/>
    <mergeCell ref="B41:D41"/>
    <mergeCell ref="B42:D42"/>
    <mergeCell ref="E42:G42"/>
    <mergeCell ref="H42:I42"/>
    <mergeCell ref="K42:X42"/>
    <mergeCell ref="Y42:AD42"/>
    <mergeCell ref="E41:G41"/>
    <mergeCell ref="H41:I41"/>
    <mergeCell ref="K41:X41"/>
    <mergeCell ref="Y41:AD41"/>
    <mergeCell ref="B43:D43"/>
    <mergeCell ref="E43:G43"/>
    <mergeCell ref="H43:I43"/>
    <mergeCell ref="K43:X43"/>
    <mergeCell ref="Y43:AD43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X46"/>
    <mergeCell ref="Y46:AD46"/>
    <mergeCell ref="B44:D44"/>
    <mergeCell ref="B40:D40"/>
    <mergeCell ref="E40:G40"/>
    <mergeCell ref="H40:I40"/>
    <mergeCell ref="K40:X40"/>
    <mergeCell ref="Y40:AD40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A43B-5B42-4F27-996E-00A59C70EDB4}">
  <sheetPr>
    <pageSetUpPr fitToPage="1"/>
  </sheetPr>
  <dimension ref="A1:AM187"/>
  <sheetViews>
    <sheetView view="pageBreakPreview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1228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46117</v>
      </c>
      <c r="Y5" s="55"/>
      <c r="Z5" s="55"/>
      <c r="AA5" s="55"/>
      <c r="AB5" s="56">
        <f>WEEKDAY(X5)</f>
        <v>1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0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>
        <v>0</v>
      </c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146" t="s">
        <v>352</v>
      </c>
      <c r="Z12" s="147"/>
      <c r="AA12" s="147"/>
      <c r="AB12" s="147"/>
      <c r="AC12" s="147"/>
      <c r="AD12" s="148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>
        <v>0</v>
      </c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>
        <v>0</v>
      </c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>
        <v>0</v>
      </c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>
        <v>0</v>
      </c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0</v>
      </c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0</v>
      </c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>
        <v>0</v>
      </c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0</v>
      </c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>
        <v>0</v>
      </c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0</v>
      </c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0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0</v>
      </c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>
        <v>0</v>
      </c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>
        <v>0</v>
      </c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0</v>
      </c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0</v>
      </c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0</v>
      </c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0</v>
      </c>
      <c r="I30" s="103"/>
      <c r="J30" s="26" t="s">
        <v>54</v>
      </c>
      <c r="K30" s="10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>
        <v>0</v>
      </c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>
        <v>0</v>
      </c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>
        <v>0</v>
      </c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0</v>
      </c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0</v>
      </c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0</v>
      </c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>
        <v>0</v>
      </c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>
        <v>0</v>
      </c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0</v>
      </c>
      <c r="I39" s="103"/>
      <c r="J39" s="26" t="s">
        <v>22</v>
      </c>
      <c r="K39" s="104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0</v>
      </c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0</v>
      </c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0</v>
      </c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0</v>
      </c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0</v>
      </c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>
        <v>0</v>
      </c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7.25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0</v>
      </c>
      <c r="I46" s="142"/>
      <c r="J46" s="42" t="s">
        <v>22</v>
      </c>
      <c r="K46" s="138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46117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46117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AD1:AD2"/>
    <mergeCell ref="AA1:AC2"/>
    <mergeCell ref="Z1:Z2"/>
    <mergeCell ref="X1:Y2"/>
    <mergeCell ref="A9:B10"/>
    <mergeCell ref="E44:G44"/>
    <mergeCell ref="H44:I44"/>
    <mergeCell ref="K44:X44"/>
    <mergeCell ref="Y44:AD44"/>
    <mergeCell ref="B41:D41"/>
    <mergeCell ref="B42:D42"/>
    <mergeCell ref="E42:G42"/>
    <mergeCell ref="H42:I42"/>
    <mergeCell ref="K42:X42"/>
    <mergeCell ref="Y42:AD42"/>
    <mergeCell ref="E41:G41"/>
    <mergeCell ref="H41:I41"/>
    <mergeCell ref="K41:X41"/>
    <mergeCell ref="Y41:AD41"/>
    <mergeCell ref="B43:D43"/>
    <mergeCell ref="E43:G43"/>
    <mergeCell ref="H43:I43"/>
    <mergeCell ref="K43:X43"/>
    <mergeCell ref="Y43:AD43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X46"/>
    <mergeCell ref="Y46:AD46"/>
    <mergeCell ref="B44:D44"/>
    <mergeCell ref="B40:D40"/>
    <mergeCell ref="E40:G40"/>
    <mergeCell ref="H40:I40"/>
    <mergeCell ref="K40:X40"/>
    <mergeCell ref="Y40:AD40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E0F1-629E-4A3C-BCE8-D52CA62B2A27}">
  <sheetPr>
    <pageSetUpPr fitToPage="1"/>
  </sheetPr>
  <dimension ref="A1:AM187"/>
  <sheetViews>
    <sheetView view="pageBreakPreview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1236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46125</v>
      </c>
      <c r="Y5" s="55"/>
      <c r="Z5" s="55"/>
      <c r="AA5" s="55"/>
      <c r="AB5" s="56">
        <f>WEEKDAY(X5)</f>
        <v>2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13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146" t="s">
        <v>352</v>
      </c>
      <c r="Z12" s="147"/>
      <c r="AA12" s="147"/>
      <c r="AB12" s="147"/>
      <c r="AC12" s="147"/>
      <c r="AD12" s="148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355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354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/>
      <c r="I39" s="103"/>
      <c r="J39" s="26" t="s">
        <v>22</v>
      </c>
      <c r="K39" s="104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/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7.25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</v>
      </c>
      <c r="I46" s="142"/>
      <c r="J46" s="42" t="s">
        <v>22</v>
      </c>
      <c r="K46" s="138" t="s">
        <v>353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46125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46125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Y44:AD44"/>
    <mergeCell ref="Y46:AD46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1:D41"/>
    <mergeCell ref="B42:D42"/>
    <mergeCell ref="E42:G42"/>
    <mergeCell ref="H42:I42"/>
    <mergeCell ref="K42:X42"/>
    <mergeCell ref="Y42:AD42"/>
    <mergeCell ref="B38:D38"/>
    <mergeCell ref="E38:G38"/>
    <mergeCell ref="H38:I38"/>
    <mergeCell ref="K38:X38"/>
    <mergeCell ref="Y38:AD38"/>
    <mergeCell ref="B39:D39"/>
    <mergeCell ref="F48:H48"/>
    <mergeCell ref="K46:X46"/>
    <mergeCell ref="N48:P48"/>
    <mergeCell ref="B40:D40"/>
    <mergeCell ref="E40:G40"/>
    <mergeCell ref="H40:I40"/>
    <mergeCell ref="K40:X40"/>
    <mergeCell ref="Y40:AD40"/>
    <mergeCell ref="E41:G41"/>
    <mergeCell ref="H41:I41"/>
    <mergeCell ref="K41:X41"/>
    <mergeCell ref="Y41:AD41"/>
    <mergeCell ref="B46:D46"/>
    <mergeCell ref="E46:G46"/>
    <mergeCell ref="H46:I46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9:G39"/>
    <mergeCell ref="H39:I39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E986-3D49-4CAE-9ACB-179F97583437}">
  <sheetPr>
    <pageSetUpPr fitToPage="1"/>
  </sheetPr>
  <dimension ref="A1:AM187"/>
  <sheetViews>
    <sheetView view="pageBreakPreview" topLeftCell="A18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1230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46119</v>
      </c>
      <c r="Y5" s="55"/>
      <c r="Z5" s="55"/>
      <c r="AA5" s="55"/>
      <c r="AB5" s="56">
        <f>WEEKDAY(X5)</f>
        <v>3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23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146" t="s">
        <v>352</v>
      </c>
      <c r="Z12" s="147"/>
      <c r="AA12" s="147"/>
      <c r="AB12" s="147"/>
      <c r="AC12" s="147"/>
      <c r="AD12" s="148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347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2</v>
      </c>
      <c r="I20" s="103"/>
      <c r="J20" s="26" t="s">
        <v>54</v>
      </c>
      <c r="K20" s="104" t="s">
        <v>348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29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8</v>
      </c>
      <c r="I30" s="103"/>
      <c r="J30" s="26" t="s">
        <v>54</v>
      </c>
      <c r="K30" s="104" t="s">
        <v>346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>
        <v>4</v>
      </c>
      <c r="I38" s="103"/>
      <c r="J38" s="26" t="s">
        <v>54</v>
      </c>
      <c r="K38" s="104" t="s">
        <v>351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3</v>
      </c>
      <c r="I39" s="103"/>
      <c r="J39" s="26" t="s">
        <v>22</v>
      </c>
      <c r="K39" s="104" t="s">
        <v>350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349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/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7.25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</v>
      </c>
      <c r="I46" s="142"/>
      <c r="J46" s="42" t="s">
        <v>22</v>
      </c>
      <c r="K46" s="138" t="s">
        <v>345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46119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46119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Y44:AD44"/>
    <mergeCell ref="Y46:AD46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1:D41"/>
    <mergeCell ref="B42:D42"/>
    <mergeCell ref="E42:G42"/>
    <mergeCell ref="H42:I42"/>
    <mergeCell ref="K42:X42"/>
    <mergeCell ref="Y42:AD42"/>
    <mergeCell ref="B38:D38"/>
    <mergeCell ref="E38:G38"/>
    <mergeCell ref="H38:I38"/>
    <mergeCell ref="K38:X38"/>
    <mergeCell ref="Y38:AD38"/>
    <mergeCell ref="B39:D39"/>
    <mergeCell ref="F48:H48"/>
    <mergeCell ref="K46:X46"/>
    <mergeCell ref="N48:P48"/>
    <mergeCell ref="B40:D40"/>
    <mergeCell ref="E40:G40"/>
    <mergeCell ref="H40:I40"/>
    <mergeCell ref="K40:X40"/>
    <mergeCell ref="Y40:AD40"/>
    <mergeCell ref="E41:G41"/>
    <mergeCell ref="H41:I41"/>
    <mergeCell ref="K41:X41"/>
    <mergeCell ref="Y41:AD41"/>
    <mergeCell ref="B46:D46"/>
    <mergeCell ref="E46:G46"/>
    <mergeCell ref="H46:I46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9:G39"/>
    <mergeCell ref="H39:I39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D59D-23BA-4AE6-AE0B-CBED755A965F}">
  <sheetPr>
    <pageSetUpPr fitToPage="1"/>
  </sheetPr>
  <dimension ref="A1:AM187"/>
  <sheetViews>
    <sheetView view="pageBreakPreview" topLeftCell="A30" zoomScale="118" zoomScaleNormal="120" zoomScaleSheetLayoutView="118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1231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46120</v>
      </c>
      <c r="Y5" s="55"/>
      <c r="Z5" s="55"/>
      <c r="AA5" s="55"/>
      <c r="AB5" s="56">
        <f>WEEKDAY(X5)</f>
        <v>4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84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332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 ht="28.5" customHeight="1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344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2</v>
      </c>
      <c r="I22" s="103"/>
      <c r="J22" s="26" t="s">
        <v>22</v>
      </c>
      <c r="K22" s="104" t="s">
        <v>343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1</v>
      </c>
      <c r="I24" s="103"/>
      <c r="J24" s="26" t="s">
        <v>22</v>
      </c>
      <c r="K24" s="104" t="s">
        <v>336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4</v>
      </c>
      <c r="I27" s="103"/>
      <c r="J27" s="26" t="s">
        <v>22</v>
      </c>
      <c r="K27" s="104" t="s">
        <v>342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5</v>
      </c>
      <c r="I30" s="103"/>
      <c r="J30" s="26" t="s">
        <v>22</v>
      </c>
      <c r="K30" s="104" t="s">
        <v>337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6</v>
      </c>
      <c r="I39" s="103"/>
      <c r="J39" s="26" t="s">
        <v>22</v>
      </c>
      <c r="K39" s="104" t="s">
        <v>338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3</v>
      </c>
      <c r="I40" s="103"/>
      <c r="J40" s="26" t="s">
        <v>22</v>
      </c>
      <c r="K40" s="104" t="s">
        <v>340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341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4</v>
      </c>
      <c r="I42" s="103"/>
      <c r="J42" s="26" t="s">
        <v>22</v>
      </c>
      <c r="K42" s="104" t="s">
        <v>339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33.7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13</v>
      </c>
      <c r="I44" s="103"/>
      <c r="J44" s="26" t="s">
        <v>54</v>
      </c>
      <c r="K44" s="104" t="s">
        <v>414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41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36</v>
      </c>
      <c r="I46" s="142"/>
      <c r="J46" s="42" t="s">
        <v>22</v>
      </c>
      <c r="K46" s="135" t="s">
        <v>334</v>
      </c>
      <c r="L46" s="136"/>
      <c r="M46" s="136"/>
      <c r="N46" s="136"/>
      <c r="O46" s="136"/>
      <c r="P46" s="136"/>
      <c r="Q46" s="136"/>
      <c r="R46" s="136"/>
      <c r="S46" s="136"/>
      <c r="T46" s="136" t="s">
        <v>333</v>
      </c>
      <c r="U46" s="136"/>
      <c r="V46" s="136"/>
      <c r="W46" s="136"/>
      <c r="X46" s="137"/>
      <c r="Y46" s="131" t="s">
        <v>335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46120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46120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8ECD-E739-46CA-8FC3-0E5C4FA9D065}">
  <sheetPr>
    <pageSetUpPr fitToPage="1"/>
  </sheetPr>
  <dimension ref="A1:AM187"/>
  <sheetViews>
    <sheetView view="pageBreakPreview" topLeftCell="A21" zoomScale="106" zoomScaleNormal="120" zoomScaleSheetLayoutView="106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1232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46121</v>
      </c>
      <c r="Y5" s="55"/>
      <c r="Z5" s="55"/>
      <c r="AA5" s="55"/>
      <c r="AB5" s="56">
        <f>WEEKDAY(X5)</f>
        <v>5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76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2</v>
      </c>
      <c r="I17" s="103"/>
      <c r="J17" s="26" t="s">
        <v>54</v>
      </c>
      <c r="K17" s="104" t="s">
        <v>304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 ht="30" customHeight="1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7</v>
      </c>
      <c r="I20" s="103"/>
      <c r="J20" s="26" t="s">
        <v>54</v>
      </c>
      <c r="K20" s="104" t="s">
        <v>330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5</v>
      </c>
      <c r="I22" s="103"/>
      <c r="J22" s="26" t="s">
        <v>22</v>
      </c>
      <c r="K22" s="104" t="s">
        <v>287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4</v>
      </c>
      <c r="I30" s="103"/>
      <c r="J30" s="26" t="s">
        <v>22</v>
      </c>
      <c r="K30" s="104" t="s">
        <v>325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331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329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327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4</v>
      </c>
      <c r="I39" s="103"/>
      <c r="J39" s="26" t="s">
        <v>22</v>
      </c>
      <c r="K39" s="104" t="s">
        <v>328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5</v>
      </c>
      <c r="I40" s="103"/>
      <c r="J40" s="26" t="s">
        <v>22</v>
      </c>
      <c r="K40" s="104" t="s">
        <v>294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4</v>
      </c>
      <c r="I42" s="103"/>
      <c r="J42" s="26" t="s">
        <v>22</v>
      </c>
      <c r="K42" s="104" t="s">
        <v>326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9</v>
      </c>
      <c r="I44" s="103"/>
      <c r="J44" s="26" t="s">
        <v>54</v>
      </c>
      <c r="K44" s="104" t="s">
        <v>415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17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29</v>
      </c>
      <c r="I46" s="142"/>
      <c r="J46" s="42" t="s">
        <v>22</v>
      </c>
      <c r="K46" s="149" t="s">
        <v>396</v>
      </c>
      <c r="L46" s="150"/>
      <c r="M46" s="150"/>
      <c r="N46" s="150"/>
      <c r="O46" s="150"/>
      <c r="P46" s="150"/>
      <c r="Q46" s="150"/>
      <c r="R46" s="150"/>
      <c r="S46" s="150"/>
      <c r="T46" s="150" t="s">
        <v>397</v>
      </c>
      <c r="U46" s="150"/>
      <c r="V46" s="150"/>
      <c r="W46" s="150"/>
      <c r="X46" s="151"/>
      <c r="Y46" s="131" t="s">
        <v>324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46121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46121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2B18-7E8A-4B72-9D2D-F23152FF0237}">
  <sheetPr>
    <pageSetUpPr fitToPage="1"/>
  </sheetPr>
  <dimension ref="A1:AM187"/>
  <sheetViews>
    <sheetView view="pageBreakPreview" topLeftCell="A32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1233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46122</v>
      </c>
      <c r="Y5" s="55"/>
      <c r="Z5" s="55"/>
      <c r="AA5" s="55"/>
      <c r="AB5" s="56">
        <f>WEEKDAY(X5)</f>
        <v>6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14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/>
      <c r="I30" s="103"/>
      <c r="J30" s="26" t="s">
        <v>22</v>
      </c>
      <c r="K30" s="10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/>
      <c r="I39" s="103"/>
      <c r="J39" s="26" t="s">
        <v>22</v>
      </c>
      <c r="K39" s="104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95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97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99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43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43</v>
      </c>
      <c r="C44" s="116"/>
      <c r="D44" s="117"/>
      <c r="E44" s="104" t="s">
        <v>68</v>
      </c>
      <c r="F44" s="105"/>
      <c r="G44" s="106"/>
      <c r="H44" s="102">
        <v>14</v>
      </c>
      <c r="I44" s="103"/>
      <c r="J44" s="26" t="s">
        <v>54</v>
      </c>
      <c r="K44" s="104" t="s">
        <v>416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43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39.5" customHeight="1" thickBot="1">
      <c r="A46" s="124"/>
      <c r="B46" s="135" t="s">
        <v>64</v>
      </c>
      <c r="C46" s="136"/>
      <c r="D46" s="137"/>
      <c r="E46" s="138" t="s">
        <v>74</v>
      </c>
      <c r="F46" s="139"/>
      <c r="G46" s="140"/>
      <c r="H46" s="141"/>
      <c r="I46" s="142"/>
      <c r="J46" s="42" t="s">
        <v>22</v>
      </c>
      <c r="K46" s="135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46122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46122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U7:X7"/>
    <mergeCell ref="Y7:AD8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D0C9-B1BD-4302-B536-CDF559122072}">
  <sheetPr>
    <pageSetUpPr fitToPage="1"/>
  </sheetPr>
  <dimension ref="A1:AM187"/>
  <sheetViews>
    <sheetView view="pageBreakPreview" topLeftCell="A23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1234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46123</v>
      </c>
      <c r="Y5" s="55"/>
      <c r="Z5" s="55"/>
      <c r="AA5" s="55"/>
      <c r="AB5" s="56">
        <f>WEEKDAY(X5)</f>
        <v>7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66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2</v>
      </c>
      <c r="I17" s="103"/>
      <c r="J17" s="26" t="s">
        <v>54</v>
      </c>
      <c r="K17" s="104" t="s">
        <v>304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309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 ht="27" customHeight="1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322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5</v>
      </c>
      <c r="I22" s="103"/>
      <c r="J22" s="26" t="s">
        <v>22</v>
      </c>
      <c r="K22" s="104" t="s">
        <v>287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6</v>
      </c>
      <c r="I30" s="103"/>
      <c r="J30" s="26" t="s">
        <v>22</v>
      </c>
      <c r="K30" s="104" t="s">
        <v>318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323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319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320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0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4</v>
      </c>
      <c r="I39" s="103"/>
      <c r="J39" s="26" t="s">
        <v>22</v>
      </c>
      <c r="K39" s="104" t="s">
        <v>321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5</v>
      </c>
      <c r="I40" s="103"/>
      <c r="J40" s="26" t="s">
        <v>22</v>
      </c>
      <c r="K40" s="104" t="s">
        <v>294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4</v>
      </c>
      <c r="I42" s="103"/>
      <c r="J42" s="26" t="s">
        <v>22</v>
      </c>
      <c r="K42" s="104" t="s">
        <v>289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10</v>
      </c>
      <c r="I44" s="103"/>
      <c r="J44" s="26" t="s">
        <v>54</v>
      </c>
      <c r="K44" s="104" t="s">
        <v>417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70.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17</v>
      </c>
      <c r="I46" s="142"/>
      <c r="J46" s="42" t="s">
        <v>22</v>
      </c>
      <c r="K46" s="135" t="s">
        <v>317</v>
      </c>
      <c r="L46" s="136"/>
      <c r="M46" s="136"/>
      <c r="N46" s="136"/>
      <c r="O46" s="136"/>
      <c r="P46" s="136"/>
      <c r="Q46" s="136"/>
      <c r="R46" s="136"/>
      <c r="S46" s="136"/>
      <c r="T46" s="136" t="s">
        <v>316</v>
      </c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46123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46123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8D67-9D48-4D68-9AA8-8AD472059486}">
  <sheetPr>
    <pageSetUpPr fitToPage="1"/>
  </sheetPr>
  <dimension ref="A1:AM187"/>
  <sheetViews>
    <sheetView view="pageBreakPreview" topLeftCell="A33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1235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46124</v>
      </c>
      <c r="Y5" s="55"/>
      <c r="Z5" s="55"/>
      <c r="AA5" s="55"/>
      <c r="AB5" s="56">
        <f>WEEKDAY(X5)</f>
        <v>1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25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3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3</v>
      </c>
      <c r="I30" s="103"/>
      <c r="J30" s="26" t="s">
        <v>22</v>
      </c>
      <c r="K30" s="104" t="s">
        <v>312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314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0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5</v>
      </c>
      <c r="I39" s="103"/>
      <c r="J39" s="26" t="s">
        <v>22</v>
      </c>
      <c r="K39" s="104" t="s">
        <v>315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311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/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55.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10</v>
      </c>
      <c r="I46" s="142"/>
      <c r="J46" s="42" t="s">
        <v>22</v>
      </c>
      <c r="K46" s="135" t="s">
        <v>313</v>
      </c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46124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46124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Y44:AD44"/>
    <mergeCell ref="Y46:AD46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1:D41"/>
    <mergeCell ref="B42:D42"/>
    <mergeCell ref="E42:G42"/>
    <mergeCell ref="H42:I42"/>
    <mergeCell ref="K42:X42"/>
    <mergeCell ref="Y42:AD42"/>
    <mergeCell ref="B38:D38"/>
    <mergeCell ref="E38:G38"/>
    <mergeCell ref="H38:I38"/>
    <mergeCell ref="K38:X38"/>
    <mergeCell ref="Y38:AD38"/>
    <mergeCell ref="B39:D39"/>
    <mergeCell ref="F48:H48"/>
    <mergeCell ref="K46:X46"/>
    <mergeCell ref="N48:P48"/>
    <mergeCell ref="B40:D40"/>
    <mergeCell ref="E40:G40"/>
    <mergeCell ref="H40:I40"/>
    <mergeCell ref="K40:X40"/>
    <mergeCell ref="Y40:AD40"/>
    <mergeCell ref="E41:G41"/>
    <mergeCell ref="H41:I41"/>
    <mergeCell ref="K41:X41"/>
    <mergeCell ref="Y41:AD41"/>
    <mergeCell ref="B46:D46"/>
    <mergeCell ref="E46:G46"/>
    <mergeCell ref="H46:I46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9:G39"/>
    <mergeCell ref="H39:I39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4045-BE66-4653-82B7-8B98144075D7}">
  <sheetPr>
    <pageSetUpPr fitToPage="1"/>
  </sheetPr>
  <dimension ref="A1:AM187"/>
  <sheetViews>
    <sheetView view="pageBreakPreview" topLeftCell="A26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1236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46125</v>
      </c>
      <c r="Y5" s="55"/>
      <c r="Z5" s="55"/>
      <c r="AA5" s="55"/>
      <c r="AB5" s="56">
        <f>WEEKDAY(X5)</f>
        <v>2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82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2</v>
      </c>
      <c r="I17" s="103"/>
      <c r="J17" s="26" t="s">
        <v>54</v>
      </c>
      <c r="K17" s="104" t="s">
        <v>304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309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 ht="27.75" customHeight="1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7</v>
      </c>
      <c r="I20" s="103"/>
      <c r="J20" s="26" t="s">
        <v>54</v>
      </c>
      <c r="K20" s="104" t="s">
        <v>307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5</v>
      </c>
      <c r="I22" s="103"/>
      <c r="J22" s="26" t="s">
        <v>22</v>
      </c>
      <c r="K22" s="104" t="s">
        <v>287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3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4</v>
      </c>
      <c r="I28" s="103"/>
      <c r="J28" s="26" t="s">
        <v>22</v>
      </c>
      <c r="K28" s="104" t="s">
        <v>310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7</v>
      </c>
      <c r="I30" s="103"/>
      <c r="J30" s="26" t="s">
        <v>22</v>
      </c>
      <c r="K30" s="104" t="s">
        <v>302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308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303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1</v>
      </c>
      <c r="I36" s="103"/>
      <c r="J36" s="26" t="s">
        <v>54</v>
      </c>
      <c r="K36" s="104" t="s">
        <v>305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4</v>
      </c>
      <c r="I39" s="103"/>
      <c r="J39" s="26" t="s">
        <v>22</v>
      </c>
      <c r="K39" s="104" t="s">
        <v>306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5</v>
      </c>
      <c r="I40" s="103"/>
      <c r="J40" s="26" t="s">
        <v>22</v>
      </c>
      <c r="K40" s="104" t="s">
        <v>294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4</v>
      </c>
      <c r="I42" s="103"/>
      <c r="J42" s="26" t="s">
        <v>22</v>
      </c>
      <c r="K42" s="104" t="s">
        <v>289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9</v>
      </c>
      <c r="I44" s="103"/>
      <c r="J44" s="26" t="s">
        <v>54</v>
      </c>
      <c r="K44" s="104" t="s">
        <v>415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92.2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27</v>
      </c>
      <c r="I46" s="142"/>
      <c r="J46" s="42" t="s">
        <v>22</v>
      </c>
      <c r="K46" s="135" t="s">
        <v>300</v>
      </c>
      <c r="L46" s="136"/>
      <c r="M46" s="136"/>
      <c r="N46" s="136"/>
      <c r="O46" s="136"/>
      <c r="P46" s="136"/>
      <c r="Q46" s="136"/>
      <c r="R46" s="136"/>
      <c r="S46" s="136"/>
      <c r="T46" s="136" t="s">
        <v>301</v>
      </c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46125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46125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41C3-CF19-460D-9B1D-46EB704C9FEE}">
  <sheetPr>
    <pageSetUpPr fitToPage="1"/>
  </sheetPr>
  <dimension ref="A1:AM188"/>
  <sheetViews>
    <sheetView view="pageBreakPreview" topLeftCell="A26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1237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46126</v>
      </c>
      <c r="Y5" s="55"/>
      <c r="Z5" s="55"/>
      <c r="AA5" s="55"/>
      <c r="AB5" s="56">
        <f>WEEKDAY(X5)</f>
        <v>3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SUM(H12:I47)</f>
        <v>75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5</v>
      </c>
      <c r="I17" s="103"/>
      <c r="J17" s="26" t="s">
        <v>54</v>
      </c>
      <c r="K17" s="104" t="s">
        <v>290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295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 ht="28.5" customHeight="1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7</v>
      </c>
      <c r="I20" s="103"/>
      <c r="J20" s="26" t="s">
        <v>54</v>
      </c>
      <c r="K20" s="104" t="s">
        <v>292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5</v>
      </c>
      <c r="I22" s="103"/>
      <c r="J22" s="26" t="s">
        <v>22</v>
      </c>
      <c r="K22" s="104" t="s">
        <v>287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3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296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298</v>
      </c>
      <c r="C25" s="116"/>
      <c r="D25" s="117"/>
      <c r="E25" s="115" t="s">
        <v>297</v>
      </c>
      <c r="F25" s="116"/>
      <c r="G25" s="117"/>
      <c r="H25" s="102">
        <v>1</v>
      </c>
      <c r="I25" s="103"/>
      <c r="J25" s="26" t="s">
        <v>22</v>
      </c>
      <c r="K25" s="104" t="s">
        <v>299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07"/>
      <c r="B26" s="115" t="s">
        <v>33</v>
      </c>
      <c r="C26" s="116"/>
      <c r="D26" s="117"/>
      <c r="E26" s="115" t="s">
        <v>55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18" t="s">
        <v>35</v>
      </c>
      <c r="B27" s="115" t="s">
        <v>48</v>
      </c>
      <c r="C27" s="116"/>
      <c r="D27" s="117"/>
      <c r="E27" s="115" t="s">
        <v>49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57</v>
      </c>
      <c r="C28" s="116"/>
      <c r="D28" s="117"/>
      <c r="E28" s="115" t="s">
        <v>58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65</v>
      </c>
      <c r="C29" s="116"/>
      <c r="D29" s="117"/>
      <c r="E29" s="104" t="s">
        <v>63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78</v>
      </c>
      <c r="C30" s="116"/>
      <c r="D30" s="117"/>
      <c r="E30" s="115" t="s">
        <v>80</v>
      </c>
      <c r="F30" s="116"/>
      <c r="G30" s="117"/>
      <c r="H30" s="102"/>
      <c r="I30" s="103"/>
      <c r="J30" s="26" t="s">
        <v>22</v>
      </c>
      <c r="K30" s="10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 ht="32.25" customHeight="1">
      <c r="A31" s="107"/>
      <c r="B31" s="115" t="s">
        <v>83</v>
      </c>
      <c r="C31" s="116"/>
      <c r="D31" s="117"/>
      <c r="E31" s="115" t="s">
        <v>91</v>
      </c>
      <c r="F31" s="116"/>
      <c r="G31" s="117"/>
      <c r="H31" s="102">
        <v>6</v>
      </c>
      <c r="I31" s="103"/>
      <c r="J31" s="26" t="s">
        <v>22</v>
      </c>
      <c r="K31" s="104" t="s">
        <v>286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204</v>
      </c>
      <c r="C32" s="116"/>
      <c r="D32" s="117"/>
      <c r="E32" s="125" t="s">
        <v>105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104</v>
      </c>
      <c r="C33" s="116"/>
      <c r="D33" s="117"/>
      <c r="E33" s="125" t="s">
        <v>135</v>
      </c>
      <c r="F33" s="105"/>
      <c r="G33" s="106"/>
      <c r="H33" s="102"/>
      <c r="I33" s="103"/>
      <c r="J33" s="26" t="s">
        <v>54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115" t="s">
        <v>77</v>
      </c>
      <c r="C34" s="116"/>
      <c r="D34" s="117"/>
      <c r="E34" s="115" t="s">
        <v>76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43" t="s">
        <v>61</v>
      </c>
      <c r="C35" s="44"/>
      <c r="D35" s="45"/>
      <c r="E35" s="115" t="s">
        <v>62</v>
      </c>
      <c r="F35" s="116"/>
      <c r="G35" s="117"/>
      <c r="H35" s="102">
        <v>1</v>
      </c>
      <c r="I35" s="103"/>
      <c r="J35" s="26" t="s">
        <v>22</v>
      </c>
      <c r="K35" s="104" t="s">
        <v>293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75</v>
      </c>
      <c r="C36" s="116"/>
      <c r="D36" s="117"/>
      <c r="E36" s="115" t="s">
        <v>47</v>
      </c>
      <c r="F36" s="116"/>
      <c r="G36" s="117"/>
      <c r="H36" s="102">
        <v>2</v>
      </c>
      <c r="I36" s="103"/>
      <c r="J36" s="26" t="s">
        <v>22</v>
      </c>
      <c r="K36" s="104" t="s">
        <v>288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36</v>
      </c>
      <c r="C37" s="116"/>
      <c r="D37" s="117"/>
      <c r="E37" s="115" t="s">
        <v>79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85</v>
      </c>
      <c r="C38" s="116"/>
      <c r="D38" s="117"/>
      <c r="E38" s="115" t="s">
        <v>84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37</v>
      </c>
      <c r="C39" s="116"/>
      <c r="D39" s="117"/>
      <c r="E39" s="115" t="s">
        <v>60</v>
      </c>
      <c r="F39" s="116"/>
      <c r="G39" s="117"/>
      <c r="H39" s="102"/>
      <c r="I39" s="103"/>
      <c r="J39" s="26" t="s">
        <v>54</v>
      </c>
      <c r="K39" s="104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 ht="30.75" customHeight="1">
      <c r="A40" s="107"/>
      <c r="B40" s="115" t="s">
        <v>81</v>
      </c>
      <c r="C40" s="116"/>
      <c r="D40" s="117"/>
      <c r="E40" s="115" t="s">
        <v>82</v>
      </c>
      <c r="F40" s="116"/>
      <c r="G40" s="117"/>
      <c r="H40" s="102">
        <v>6</v>
      </c>
      <c r="I40" s="103"/>
      <c r="J40" s="26" t="s">
        <v>22</v>
      </c>
      <c r="K40" s="104" t="s">
        <v>291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202</v>
      </c>
      <c r="C41" s="116"/>
      <c r="D41" s="117"/>
      <c r="E41" s="115" t="s">
        <v>94</v>
      </c>
      <c r="F41" s="116"/>
      <c r="G41" s="117"/>
      <c r="H41" s="102">
        <v>5</v>
      </c>
      <c r="I41" s="103"/>
      <c r="J41" s="26" t="s">
        <v>22</v>
      </c>
      <c r="K41" s="104" t="s">
        <v>294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15" t="s">
        <v>186</v>
      </c>
      <c r="C42" s="116"/>
      <c r="D42" s="117"/>
      <c r="E42" s="115" t="s">
        <v>96</v>
      </c>
      <c r="F42" s="116"/>
      <c r="G42" s="117"/>
      <c r="H42" s="102"/>
      <c r="I42" s="103"/>
      <c r="J42" s="26" t="s">
        <v>22</v>
      </c>
      <c r="K42" s="104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6"/>
      <c r="Y42" s="112"/>
      <c r="Z42" s="113"/>
      <c r="AA42" s="113"/>
      <c r="AB42" s="113"/>
      <c r="AC42" s="113"/>
      <c r="AD42" s="114"/>
    </row>
    <row r="43" spans="1:30">
      <c r="A43" s="107"/>
      <c r="B43" s="104" t="s">
        <v>187</v>
      </c>
      <c r="C43" s="105"/>
      <c r="D43" s="106"/>
      <c r="E43" s="104" t="s">
        <v>98</v>
      </c>
      <c r="F43" s="105"/>
      <c r="G43" s="106"/>
      <c r="H43" s="102">
        <v>4</v>
      </c>
      <c r="I43" s="103"/>
      <c r="J43" s="26" t="s">
        <v>22</v>
      </c>
      <c r="K43" s="104" t="s">
        <v>289</v>
      </c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30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69</v>
      </c>
      <c r="F44" s="105"/>
      <c r="G44" s="106"/>
      <c r="H44" s="102"/>
      <c r="I44" s="103"/>
      <c r="J44" s="26" t="s">
        <v>22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 ht="44.25" customHeight="1">
      <c r="A45" s="107"/>
      <c r="B45" s="115" t="s">
        <v>188</v>
      </c>
      <c r="C45" s="116"/>
      <c r="D45" s="117"/>
      <c r="E45" s="104" t="s">
        <v>68</v>
      </c>
      <c r="F45" s="105"/>
      <c r="G45" s="106"/>
      <c r="H45" s="102">
        <v>12</v>
      </c>
      <c r="I45" s="103"/>
      <c r="J45" s="26" t="s">
        <v>54</v>
      </c>
      <c r="K45" s="104" t="s">
        <v>418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>
      <c r="A46" s="107"/>
      <c r="B46" s="115" t="s">
        <v>188</v>
      </c>
      <c r="C46" s="116"/>
      <c r="D46" s="117"/>
      <c r="E46" s="115" t="s">
        <v>73</v>
      </c>
      <c r="F46" s="116"/>
      <c r="G46" s="117"/>
      <c r="H46" s="102"/>
      <c r="I46" s="103"/>
      <c r="J46" s="26" t="s">
        <v>22</v>
      </c>
      <c r="K46" s="104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6"/>
      <c r="Y46" s="112"/>
      <c r="Z46" s="113"/>
      <c r="AA46" s="113"/>
      <c r="AB46" s="113"/>
      <c r="AC46" s="113"/>
      <c r="AD46" s="114"/>
    </row>
    <row r="47" spans="1:30" s="41" customFormat="1" ht="86.25" customHeight="1" thickBot="1">
      <c r="A47" s="124"/>
      <c r="B47" s="135" t="s">
        <v>189</v>
      </c>
      <c r="C47" s="136"/>
      <c r="D47" s="137"/>
      <c r="E47" s="138" t="s">
        <v>74</v>
      </c>
      <c r="F47" s="139"/>
      <c r="G47" s="140"/>
      <c r="H47" s="141">
        <v>15</v>
      </c>
      <c r="I47" s="142"/>
      <c r="J47" s="42" t="s">
        <v>22</v>
      </c>
      <c r="K47" s="135" t="s">
        <v>285</v>
      </c>
      <c r="L47" s="136"/>
      <c r="M47" s="136"/>
      <c r="N47" s="136"/>
      <c r="O47" s="136"/>
      <c r="P47" s="136"/>
      <c r="Q47" s="136"/>
      <c r="R47" s="136"/>
      <c r="S47" s="136"/>
      <c r="T47" s="136" t="s">
        <v>284</v>
      </c>
      <c r="U47" s="136"/>
      <c r="V47" s="136"/>
      <c r="W47" s="136"/>
      <c r="X47" s="137"/>
      <c r="Y47" s="131"/>
      <c r="Z47" s="132"/>
      <c r="AA47" s="132"/>
      <c r="AB47" s="132"/>
      <c r="AC47" s="132"/>
      <c r="AD47" s="133"/>
    </row>
    <row r="48" spans="1:30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  <c r="AC48" s="27"/>
      <c r="AD48" s="27"/>
    </row>
    <row r="49" spans="1:30" ht="18" customHeight="1">
      <c r="C49" s="5" t="s">
        <v>24</v>
      </c>
      <c r="D49" s="28" t="s">
        <v>102</v>
      </c>
      <c r="E49" s="29"/>
      <c r="F49" s="134">
        <f>$X5</f>
        <v>46126</v>
      </c>
      <c r="G49" s="134"/>
      <c r="H49" s="134"/>
      <c r="I49" s="30"/>
      <c r="K49" s="5" t="s">
        <v>70</v>
      </c>
      <c r="L49" s="28" t="s">
        <v>103</v>
      </c>
      <c r="M49" s="29"/>
      <c r="N49" s="134">
        <f>$X5</f>
        <v>46126</v>
      </c>
      <c r="O49" s="134"/>
      <c r="P49" s="134"/>
      <c r="R49" s="6" t="s">
        <v>394</v>
      </c>
      <c r="S49" s="6"/>
      <c r="T49" s="6"/>
      <c r="U49" s="28" t="s">
        <v>395</v>
      </c>
      <c r="W49" s="5" t="s">
        <v>40</v>
      </c>
      <c r="X49" s="28" t="s">
        <v>53</v>
      </c>
      <c r="Y49" s="48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47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7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7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7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7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7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7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7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7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7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7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7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7"/>
      <c r="M71" s="2"/>
      <c r="N71" s="4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0.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</sheetData>
  <mergeCells count="213">
    <mergeCell ref="Y47:AD47"/>
    <mergeCell ref="F49:H49"/>
    <mergeCell ref="B25:D25"/>
    <mergeCell ref="E25:G25"/>
    <mergeCell ref="H25:I25"/>
    <mergeCell ref="K25:X25"/>
    <mergeCell ref="Y25:AD25"/>
    <mergeCell ref="N49:P49"/>
    <mergeCell ref="B46:D46"/>
    <mergeCell ref="E46:G46"/>
    <mergeCell ref="H46:I46"/>
    <mergeCell ref="K46:X46"/>
    <mergeCell ref="Y46:AD46"/>
    <mergeCell ref="B47:D47"/>
    <mergeCell ref="E47:G47"/>
    <mergeCell ref="H47:I47"/>
    <mergeCell ref="K47:S47"/>
    <mergeCell ref="T47:X47"/>
    <mergeCell ref="B44:D44"/>
    <mergeCell ref="B41:D41"/>
    <mergeCell ref="E41:G41"/>
    <mergeCell ref="H41:I41"/>
    <mergeCell ref="K41:X41"/>
    <mergeCell ref="Y41:AD41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E44:G44"/>
    <mergeCell ref="H44:I44"/>
    <mergeCell ref="K44:X44"/>
    <mergeCell ref="Y44:AD44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Y32:AD32"/>
    <mergeCell ref="B33:D33"/>
    <mergeCell ref="E33:G33"/>
    <mergeCell ref="H33:I33"/>
    <mergeCell ref="K33:X33"/>
    <mergeCell ref="Y33:AD33"/>
    <mergeCell ref="B34:D34"/>
    <mergeCell ref="E34:G34"/>
    <mergeCell ref="H34:I34"/>
    <mergeCell ref="K34:X34"/>
    <mergeCell ref="Y34:AD34"/>
    <mergeCell ref="A27:A47"/>
    <mergeCell ref="B27:D27"/>
    <mergeCell ref="E27:G27"/>
    <mergeCell ref="H27:I27"/>
    <mergeCell ref="K27:X27"/>
    <mergeCell ref="Y27:AD27"/>
    <mergeCell ref="B28:D28"/>
    <mergeCell ref="E28:G28"/>
    <mergeCell ref="H28:I28"/>
    <mergeCell ref="K28:X28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B26:D26"/>
    <mergeCell ref="E26:G26"/>
    <mergeCell ref="H26:I26"/>
    <mergeCell ref="K26:X26"/>
    <mergeCell ref="Y26:AD26"/>
    <mergeCell ref="Y28:AD28"/>
    <mergeCell ref="B29:D29"/>
    <mergeCell ref="E29:G29"/>
    <mergeCell ref="H29:I29"/>
    <mergeCell ref="K29:X29"/>
    <mergeCell ref="Y29:AD29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6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0A9B-F4BD-497D-81F9-E2C7D9FFFC64}">
  <sheetPr>
    <pageSetUpPr fitToPage="1"/>
  </sheetPr>
  <dimension ref="A1:AM187"/>
  <sheetViews>
    <sheetView view="pageBreakPreview" topLeftCell="A34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1238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46127</v>
      </c>
      <c r="Y5" s="55"/>
      <c r="Z5" s="55"/>
      <c r="AA5" s="55"/>
      <c r="AB5" s="56">
        <f>WEEKDAY(X5)</f>
        <v>4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82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2</v>
      </c>
      <c r="I17" s="103"/>
      <c r="J17" s="26" t="s">
        <v>54</v>
      </c>
      <c r="K17" s="104" t="s">
        <v>273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275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1</v>
      </c>
      <c r="I22" s="103"/>
      <c r="J22" s="26" t="s">
        <v>22</v>
      </c>
      <c r="K22" s="104" t="s">
        <v>272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4</v>
      </c>
      <c r="I24" s="103"/>
      <c r="J24" s="26" t="s">
        <v>22</v>
      </c>
      <c r="K24" s="104" t="s">
        <v>114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2</v>
      </c>
      <c r="I27" s="103"/>
      <c r="J27" s="26" t="s">
        <v>22</v>
      </c>
      <c r="K27" s="104" t="s">
        <v>281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1</v>
      </c>
      <c r="I28" s="103"/>
      <c r="J28" s="26" t="s">
        <v>22</v>
      </c>
      <c r="K28" s="104" t="s">
        <v>279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3</v>
      </c>
      <c r="I29" s="103"/>
      <c r="J29" s="26" t="s">
        <v>22</v>
      </c>
      <c r="K29" s="104" t="s">
        <v>282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6</v>
      </c>
      <c r="I30" s="103"/>
      <c r="J30" s="26" t="s">
        <v>22</v>
      </c>
      <c r="K30" s="104" t="s">
        <v>277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110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280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>
        <v>2</v>
      </c>
      <c r="I37" s="103"/>
      <c r="J37" s="26" t="s">
        <v>54</v>
      </c>
      <c r="K37" s="104" t="s">
        <v>278</v>
      </c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0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9</v>
      </c>
      <c r="I39" s="103"/>
      <c r="J39" s="26" t="s">
        <v>22</v>
      </c>
      <c r="K39" s="104" t="s">
        <v>274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3</v>
      </c>
      <c r="I40" s="103"/>
      <c r="J40" s="26" t="s">
        <v>22</v>
      </c>
      <c r="K40" s="104" t="s">
        <v>276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283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11</v>
      </c>
      <c r="I44" s="103"/>
      <c r="J44" s="26" t="s">
        <v>54</v>
      </c>
      <c r="K44" s="104" t="s">
        <v>419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19.2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25</v>
      </c>
      <c r="I46" s="142"/>
      <c r="J46" s="42" t="s">
        <v>22</v>
      </c>
      <c r="K46" s="135" t="s">
        <v>271</v>
      </c>
      <c r="L46" s="136"/>
      <c r="M46" s="136"/>
      <c r="N46" s="136"/>
      <c r="O46" s="136"/>
      <c r="P46" s="136"/>
      <c r="Q46" s="136"/>
      <c r="R46" s="136"/>
      <c r="S46" s="136"/>
      <c r="T46" s="136" t="s">
        <v>270</v>
      </c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46127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46127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T46:X46"/>
    <mergeCell ref="K46:S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1:D41"/>
    <mergeCell ref="E41:G41"/>
    <mergeCell ref="H41:I41"/>
    <mergeCell ref="K41:X41"/>
    <mergeCell ref="Y41:AD41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Y31:AD31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B32:D32"/>
    <mergeCell ref="E32:G32"/>
    <mergeCell ref="H32:I32"/>
    <mergeCell ref="K32:X32"/>
    <mergeCell ref="Y32:AD32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7:B7"/>
    <mergeCell ref="O7:P8"/>
    <mergeCell ref="Q7:R7"/>
    <mergeCell ref="S7:T7"/>
    <mergeCell ref="U7:X7"/>
    <mergeCell ref="Y7:AD8"/>
    <mergeCell ref="AB5:AD5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7915-0171-45C8-B98E-DEB05666029E}">
  <sheetPr>
    <pageSetUpPr fitToPage="1"/>
  </sheetPr>
  <dimension ref="A1:AM187"/>
  <sheetViews>
    <sheetView view="pageBreakPreview" topLeftCell="A30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1239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46128</v>
      </c>
      <c r="Y5" s="55"/>
      <c r="Z5" s="55"/>
      <c r="AA5" s="55"/>
      <c r="AB5" s="56">
        <f>WEEKDAY(X5)</f>
        <v>5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83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108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109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114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42.7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113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77</v>
      </c>
      <c r="C32" s="116"/>
      <c r="D32" s="117"/>
      <c r="E32" s="115" t="s">
        <v>76</v>
      </c>
      <c r="F32" s="116"/>
      <c r="G32" s="117"/>
      <c r="H32" s="102"/>
      <c r="I32" s="103"/>
      <c r="J32" s="26" t="s">
        <v>22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43" t="s">
        <v>61</v>
      </c>
      <c r="C33" s="44"/>
      <c r="D33" s="45"/>
      <c r="E33" s="115" t="s">
        <v>62</v>
      </c>
      <c r="F33" s="116"/>
      <c r="G33" s="117"/>
      <c r="H33" s="102">
        <v>1</v>
      </c>
      <c r="I33" s="103"/>
      <c r="J33" s="26" t="s">
        <v>22</v>
      </c>
      <c r="K33" s="104" t="s">
        <v>110</v>
      </c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115" t="s">
        <v>75</v>
      </c>
      <c r="C34" s="116"/>
      <c r="D34" s="117"/>
      <c r="E34" s="115" t="s">
        <v>47</v>
      </c>
      <c r="F34" s="116"/>
      <c r="G34" s="117"/>
      <c r="H34" s="102">
        <v>2</v>
      </c>
      <c r="I34" s="103"/>
      <c r="J34" s="26" t="s">
        <v>22</v>
      </c>
      <c r="K34" s="104" t="s">
        <v>115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36</v>
      </c>
      <c r="C35" s="116"/>
      <c r="D35" s="117"/>
      <c r="E35" s="115" t="s">
        <v>79</v>
      </c>
      <c r="F35" s="116"/>
      <c r="G35" s="117"/>
      <c r="H35" s="102"/>
      <c r="I35" s="103"/>
      <c r="J35" s="26" t="s">
        <v>54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85</v>
      </c>
      <c r="C36" s="116"/>
      <c r="D36" s="117"/>
      <c r="E36" s="115" t="s">
        <v>84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37</v>
      </c>
      <c r="C37" s="116"/>
      <c r="D37" s="117"/>
      <c r="E37" s="115" t="s">
        <v>60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 ht="37.5" customHeight="1">
      <c r="A38" s="107"/>
      <c r="B38" s="115" t="s">
        <v>81</v>
      </c>
      <c r="C38" s="116"/>
      <c r="D38" s="117"/>
      <c r="E38" s="115" t="s">
        <v>82</v>
      </c>
      <c r="F38" s="116"/>
      <c r="G38" s="117"/>
      <c r="H38" s="102">
        <v>10</v>
      </c>
      <c r="I38" s="103"/>
      <c r="J38" s="26" t="s">
        <v>22</v>
      </c>
      <c r="K38" s="104" t="s">
        <v>112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202</v>
      </c>
      <c r="C39" s="116"/>
      <c r="D39" s="117"/>
      <c r="E39" s="115" t="s">
        <v>94</v>
      </c>
      <c r="F39" s="116"/>
      <c r="G39" s="117"/>
      <c r="H39" s="102">
        <v>7</v>
      </c>
      <c r="I39" s="103"/>
      <c r="J39" s="26" t="s">
        <v>22</v>
      </c>
      <c r="K39" s="104" t="s">
        <v>111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97</v>
      </c>
      <c r="C40" s="116"/>
      <c r="D40" s="117"/>
      <c r="E40" s="115" t="s">
        <v>96</v>
      </c>
      <c r="F40" s="116"/>
      <c r="G40" s="117"/>
      <c r="H40" s="102">
        <v>3</v>
      </c>
      <c r="I40" s="103"/>
      <c r="J40" s="26" t="s">
        <v>22</v>
      </c>
      <c r="K40" s="104" t="s">
        <v>117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42</v>
      </c>
      <c r="C41" s="116"/>
      <c r="D41" s="117"/>
      <c r="E41" s="104" t="s">
        <v>92</v>
      </c>
      <c r="F41" s="105"/>
      <c r="G41" s="106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99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43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43</v>
      </c>
      <c r="C44" s="116"/>
      <c r="D44" s="117"/>
      <c r="E44" s="104" t="s">
        <v>68</v>
      </c>
      <c r="F44" s="105"/>
      <c r="G44" s="106"/>
      <c r="H44" s="102">
        <v>13</v>
      </c>
      <c r="I44" s="103"/>
      <c r="J44" s="26" t="s">
        <v>54</v>
      </c>
      <c r="K44" s="104" t="s">
        <v>420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43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4.25" customHeight="1" thickBot="1">
      <c r="A46" s="124"/>
      <c r="B46" s="135" t="s">
        <v>64</v>
      </c>
      <c r="C46" s="136"/>
      <c r="D46" s="137"/>
      <c r="E46" s="138" t="s">
        <v>74</v>
      </c>
      <c r="F46" s="139"/>
      <c r="G46" s="140"/>
      <c r="H46" s="141">
        <v>25</v>
      </c>
      <c r="I46" s="142"/>
      <c r="J46" s="42" t="s">
        <v>22</v>
      </c>
      <c r="K46" s="138" t="s">
        <v>106</v>
      </c>
      <c r="L46" s="139"/>
      <c r="M46" s="139"/>
      <c r="N46" s="139"/>
      <c r="O46" s="139"/>
      <c r="P46" s="139"/>
      <c r="Q46" s="139"/>
      <c r="R46" s="139"/>
      <c r="S46" s="139"/>
      <c r="T46" s="139" t="s">
        <v>107</v>
      </c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46128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46128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34:D34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H31:I31"/>
    <mergeCell ref="K31:X31"/>
    <mergeCell ref="Y31:AD31"/>
    <mergeCell ref="B32:D32"/>
    <mergeCell ref="E32:G32"/>
    <mergeCell ref="H32:I32"/>
    <mergeCell ref="K32:X32"/>
    <mergeCell ref="Y32:AD32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T46:X46"/>
    <mergeCell ref="K46:S46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7:B7"/>
    <mergeCell ref="O7:P8"/>
    <mergeCell ref="Q7:R7"/>
    <mergeCell ref="S7:T7"/>
    <mergeCell ref="U7:X7"/>
    <mergeCell ref="Y7:AD8"/>
    <mergeCell ref="AB5:AD5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89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768E-97E7-45C6-8D7F-B59F32D45033}">
  <sheetPr>
    <pageSetUpPr fitToPage="1"/>
  </sheetPr>
  <dimension ref="A1:AM187"/>
  <sheetViews>
    <sheetView view="pageBreakPreview" topLeftCell="A32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1240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46129</v>
      </c>
      <c r="Y5" s="55"/>
      <c r="Z5" s="55"/>
      <c r="AA5" s="55"/>
      <c r="AB5" s="56">
        <f>WEEKDAY(X5)</f>
        <v>6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89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252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254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4</v>
      </c>
      <c r="I24" s="103"/>
      <c r="J24" s="26" t="s">
        <v>22</v>
      </c>
      <c r="K24" s="104" t="s">
        <v>114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8</v>
      </c>
      <c r="I30" s="103"/>
      <c r="J30" s="26" t="s">
        <v>22</v>
      </c>
      <c r="K30" s="104" t="s">
        <v>266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265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267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>
        <v>3</v>
      </c>
      <c r="I38" s="103"/>
      <c r="J38" s="26" t="s">
        <v>54</v>
      </c>
      <c r="K38" s="104" t="s">
        <v>268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27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10</v>
      </c>
      <c r="I39" s="103"/>
      <c r="J39" s="26" t="s">
        <v>22</v>
      </c>
      <c r="K39" s="104" t="s">
        <v>264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169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117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2</v>
      </c>
      <c r="I42" s="103"/>
      <c r="J42" s="26" t="s">
        <v>22</v>
      </c>
      <c r="K42" s="104" t="s">
        <v>269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11</v>
      </c>
      <c r="I44" s="103"/>
      <c r="J44" s="26" t="s">
        <v>54</v>
      </c>
      <c r="K44" s="104" t="s">
        <v>421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5.7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27</v>
      </c>
      <c r="I46" s="142"/>
      <c r="J46" s="42" t="s">
        <v>22</v>
      </c>
      <c r="K46" s="135" t="s">
        <v>263</v>
      </c>
      <c r="L46" s="136"/>
      <c r="M46" s="136"/>
      <c r="N46" s="136"/>
      <c r="O46" s="136"/>
      <c r="P46" s="136"/>
      <c r="Q46" s="136"/>
      <c r="R46" s="136"/>
      <c r="S46" s="136"/>
      <c r="T46" s="136" t="s">
        <v>262</v>
      </c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46129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46129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6:AD46"/>
    <mergeCell ref="F48:H48"/>
    <mergeCell ref="N48:P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DE6A-4F3E-45B9-9AC9-0F077C849F2F}">
  <sheetPr>
    <pageSetUpPr fitToPage="1"/>
  </sheetPr>
  <dimension ref="A1:AM188"/>
  <sheetViews>
    <sheetView view="pageBreakPreview" topLeftCell="A27" zoomScaleNormal="120" zoomScaleSheetLayoutView="100" workbookViewId="0">
      <selection activeCell="T47" sqref="T47:X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1241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46130</v>
      </c>
      <c r="Y5" s="55"/>
      <c r="Z5" s="55"/>
      <c r="AA5" s="55"/>
      <c r="AB5" s="56">
        <f>WEEKDAY(X5)</f>
        <v>7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SUM(H12:I47)</f>
        <v>89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252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254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4</v>
      </c>
      <c r="I24" s="103"/>
      <c r="J24" s="26" t="s">
        <v>22</v>
      </c>
      <c r="K24" s="104" t="s">
        <v>114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07"/>
      <c r="B26" s="115" t="s">
        <v>260</v>
      </c>
      <c r="C26" s="116"/>
      <c r="D26" s="117"/>
      <c r="E26" s="115" t="s">
        <v>167</v>
      </c>
      <c r="F26" s="116"/>
      <c r="G26" s="117"/>
      <c r="H26" s="102">
        <v>2</v>
      </c>
      <c r="I26" s="103"/>
      <c r="J26" s="26" t="s">
        <v>22</v>
      </c>
      <c r="K26" s="104" t="s">
        <v>261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18" t="s">
        <v>35</v>
      </c>
      <c r="B27" s="115" t="s">
        <v>48</v>
      </c>
      <c r="C27" s="116"/>
      <c r="D27" s="117"/>
      <c r="E27" s="115" t="s">
        <v>49</v>
      </c>
      <c r="F27" s="116"/>
      <c r="G27" s="117"/>
      <c r="H27" s="102">
        <v>1</v>
      </c>
      <c r="I27" s="103"/>
      <c r="J27" s="26" t="s">
        <v>22</v>
      </c>
      <c r="K27" s="104" t="s">
        <v>258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57</v>
      </c>
      <c r="C28" s="116"/>
      <c r="D28" s="117"/>
      <c r="E28" s="115" t="s">
        <v>58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65</v>
      </c>
      <c r="C29" s="116"/>
      <c r="D29" s="117"/>
      <c r="E29" s="104" t="s">
        <v>63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78</v>
      </c>
      <c r="C30" s="116"/>
      <c r="D30" s="117"/>
      <c r="E30" s="115" t="s">
        <v>80</v>
      </c>
      <c r="F30" s="116"/>
      <c r="G30" s="117"/>
      <c r="H30" s="102"/>
      <c r="I30" s="103"/>
      <c r="J30" s="26" t="s">
        <v>22</v>
      </c>
      <c r="K30" s="10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 ht="30" customHeight="1">
      <c r="A31" s="107"/>
      <c r="B31" s="115" t="s">
        <v>83</v>
      </c>
      <c r="C31" s="116"/>
      <c r="D31" s="117"/>
      <c r="E31" s="115" t="s">
        <v>91</v>
      </c>
      <c r="F31" s="116"/>
      <c r="G31" s="117"/>
      <c r="H31" s="102">
        <v>8</v>
      </c>
      <c r="I31" s="103"/>
      <c r="J31" s="26" t="s">
        <v>22</v>
      </c>
      <c r="K31" s="104" t="s">
        <v>256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204</v>
      </c>
      <c r="C32" s="116"/>
      <c r="D32" s="117"/>
      <c r="E32" s="125" t="s">
        <v>105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104</v>
      </c>
      <c r="C33" s="116"/>
      <c r="D33" s="117"/>
      <c r="E33" s="125" t="s">
        <v>135</v>
      </c>
      <c r="F33" s="105"/>
      <c r="G33" s="106"/>
      <c r="H33" s="102"/>
      <c r="I33" s="103"/>
      <c r="J33" s="26" t="s">
        <v>54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115" t="s">
        <v>77</v>
      </c>
      <c r="C34" s="116"/>
      <c r="D34" s="117"/>
      <c r="E34" s="115" t="s">
        <v>76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43" t="s">
        <v>61</v>
      </c>
      <c r="C35" s="44"/>
      <c r="D35" s="45"/>
      <c r="E35" s="115" t="s">
        <v>62</v>
      </c>
      <c r="F35" s="116"/>
      <c r="G35" s="117"/>
      <c r="H35" s="102">
        <v>1</v>
      </c>
      <c r="I35" s="103"/>
      <c r="J35" s="26" t="s">
        <v>22</v>
      </c>
      <c r="K35" s="104" t="s">
        <v>255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75</v>
      </c>
      <c r="C36" s="116"/>
      <c r="D36" s="117"/>
      <c r="E36" s="115" t="s">
        <v>47</v>
      </c>
      <c r="F36" s="116"/>
      <c r="G36" s="117"/>
      <c r="H36" s="102">
        <v>2</v>
      </c>
      <c r="I36" s="103"/>
      <c r="J36" s="26" t="s">
        <v>22</v>
      </c>
      <c r="K36" s="104" t="s">
        <v>257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36</v>
      </c>
      <c r="C37" s="116"/>
      <c r="D37" s="117"/>
      <c r="E37" s="115" t="s">
        <v>79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85</v>
      </c>
      <c r="C38" s="116"/>
      <c r="D38" s="117"/>
      <c r="E38" s="115" t="s">
        <v>84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37</v>
      </c>
      <c r="C39" s="116"/>
      <c r="D39" s="117"/>
      <c r="E39" s="115" t="s">
        <v>60</v>
      </c>
      <c r="F39" s="116"/>
      <c r="G39" s="117"/>
      <c r="H39" s="102"/>
      <c r="I39" s="103"/>
      <c r="J39" s="26" t="s">
        <v>54</v>
      </c>
      <c r="K39" s="104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 ht="30" customHeight="1">
      <c r="A40" s="107"/>
      <c r="B40" s="115" t="s">
        <v>81</v>
      </c>
      <c r="C40" s="116"/>
      <c r="D40" s="117"/>
      <c r="E40" s="115" t="s">
        <v>82</v>
      </c>
      <c r="F40" s="116"/>
      <c r="G40" s="117"/>
      <c r="H40" s="102">
        <v>10</v>
      </c>
      <c r="I40" s="103"/>
      <c r="J40" s="26" t="s">
        <v>22</v>
      </c>
      <c r="K40" s="104" t="s">
        <v>253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202</v>
      </c>
      <c r="C41" s="116"/>
      <c r="D41" s="117"/>
      <c r="E41" s="115" t="s">
        <v>94</v>
      </c>
      <c r="F41" s="116"/>
      <c r="G41" s="117"/>
      <c r="H41" s="102">
        <v>7</v>
      </c>
      <c r="I41" s="103"/>
      <c r="J41" s="26" t="s">
        <v>22</v>
      </c>
      <c r="K41" s="104" t="s">
        <v>169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15" t="s">
        <v>186</v>
      </c>
      <c r="C42" s="116"/>
      <c r="D42" s="117"/>
      <c r="E42" s="115" t="s">
        <v>96</v>
      </c>
      <c r="F42" s="116"/>
      <c r="G42" s="117"/>
      <c r="H42" s="102">
        <v>3</v>
      </c>
      <c r="I42" s="103"/>
      <c r="J42" s="26" t="s">
        <v>22</v>
      </c>
      <c r="K42" s="104" t="s">
        <v>117</v>
      </c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6"/>
      <c r="Y42" s="112"/>
      <c r="Z42" s="113"/>
      <c r="AA42" s="113"/>
      <c r="AB42" s="113"/>
      <c r="AC42" s="113"/>
      <c r="AD42" s="114"/>
    </row>
    <row r="43" spans="1:30">
      <c r="A43" s="107"/>
      <c r="B43" s="104" t="s">
        <v>187</v>
      </c>
      <c r="C43" s="105"/>
      <c r="D43" s="106"/>
      <c r="E43" s="104" t="s">
        <v>98</v>
      </c>
      <c r="F43" s="105"/>
      <c r="G43" s="106"/>
      <c r="H43" s="102"/>
      <c r="I43" s="103"/>
      <c r="J43" s="26" t="s">
        <v>22</v>
      </c>
      <c r="K43" s="104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30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69</v>
      </c>
      <c r="F44" s="105"/>
      <c r="G44" s="106"/>
      <c r="H44" s="102">
        <v>2</v>
      </c>
      <c r="I44" s="103"/>
      <c r="J44" s="26" t="s">
        <v>22</v>
      </c>
      <c r="K44" s="104" t="s">
        <v>259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 ht="28.5" customHeight="1">
      <c r="A45" s="107"/>
      <c r="B45" s="115" t="s">
        <v>188</v>
      </c>
      <c r="C45" s="116"/>
      <c r="D45" s="117"/>
      <c r="E45" s="104" t="s">
        <v>68</v>
      </c>
      <c r="F45" s="105"/>
      <c r="G45" s="106"/>
      <c r="H45" s="102">
        <v>13</v>
      </c>
      <c r="I45" s="103"/>
      <c r="J45" s="26" t="s">
        <v>54</v>
      </c>
      <c r="K45" s="104" t="s">
        <v>422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>
      <c r="A46" s="107"/>
      <c r="B46" s="115" t="s">
        <v>188</v>
      </c>
      <c r="C46" s="116"/>
      <c r="D46" s="117"/>
      <c r="E46" s="115" t="s">
        <v>73</v>
      </c>
      <c r="F46" s="116"/>
      <c r="G46" s="117"/>
      <c r="H46" s="102"/>
      <c r="I46" s="103"/>
      <c r="J46" s="26" t="s">
        <v>22</v>
      </c>
      <c r="K46" s="104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6"/>
      <c r="Y46" s="112"/>
      <c r="Z46" s="113"/>
      <c r="AA46" s="113"/>
      <c r="AB46" s="113"/>
      <c r="AC46" s="113"/>
      <c r="AD46" s="114"/>
    </row>
    <row r="47" spans="1:30" s="41" customFormat="1" ht="91.5" customHeight="1" thickBot="1">
      <c r="A47" s="124"/>
      <c r="B47" s="135" t="s">
        <v>189</v>
      </c>
      <c r="C47" s="136"/>
      <c r="D47" s="137"/>
      <c r="E47" s="138" t="s">
        <v>74</v>
      </c>
      <c r="F47" s="139"/>
      <c r="G47" s="140"/>
      <c r="H47" s="141">
        <v>25</v>
      </c>
      <c r="I47" s="142"/>
      <c r="J47" s="42" t="s">
        <v>22</v>
      </c>
      <c r="K47" s="135" t="s">
        <v>251</v>
      </c>
      <c r="L47" s="136"/>
      <c r="M47" s="136"/>
      <c r="N47" s="136"/>
      <c r="O47" s="136"/>
      <c r="P47" s="136"/>
      <c r="Q47" s="136"/>
      <c r="R47" s="136"/>
      <c r="S47" s="136"/>
      <c r="T47" s="136" t="s">
        <v>250</v>
      </c>
      <c r="U47" s="136"/>
      <c r="V47" s="136"/>
      <c r="W47" s="136"/>
      <c r="X47" s="137"/>
      <c r="Y47" s="131" t="s">
        <v>118</v>
      </c>
      <c r="Z47" s="132"/>
      <c r="AA47" s="132"/>
      <c r="AB47" s="132"/>
      <c r="AC47" s="132"/>
      <c r="AD47" s="133"/>
    </row>
    <row r="48" spans="1:30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  <c r="AC48" s="27"/>
      <c r="AD48" s="27"/>
    </row>
    <row r="49" spans="1:30" ht="18" customHeight="1">
      <c r="C49" s="5" t="s">
        <v>24</v>
      </c>
      <c r="D49" s="28" t="s">
        <v>102</v>
      </c>
      <c r="E49" s="29"/>
      <c r="F49" s="134">
        <f>$X5</f>
        <v>46130</v>
      </c>
      <c r="G49" s="134"/>
      <c r="H49" s="134"/>
      <c r="I49" s="30"/>
      <c r="K49" s="5" t="s">
        <v>70</v>
      </c>
      <c r="L49" s="28" t="s">
        <v>103</v>
      </c>
      <c r="M49" s="29"/>
      <c r="N49" s="134">
        <f>$X5</f>
        <v>46130</v>
      </c>
      <c r="O49" s="134"/>
      <c r="P49" s="134"/>
      <c r="R49" s="6" t="s">
        <v>394</v>
      </c>
      <c r="S49" s="6"/>
      <c r="T49" s="6"/>
      <c r="U49" s="28" t="s">
        <v>395</v>
      </c>
      <c r="W49" s="5" t="s">
        <v>40</v>
      </c>
      <c r="X49" s="28" t="s">
        <v>53</v>
      </c>
      <c r="Y49" s="48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0.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</sheetData>
  <mergeCells count="213">
    <mergeCell ref="Y47:AD47"/>
    <mergeCell ref="F49:H49"/>
    <mergeCell ref="B25:D25"/>
    <mergeCell ref="E25:G25"/>
    <mergeCell ref="H25:I25"/>
    <mergeCell ref="K25:X25"/>
    <mergeCell ref="Y25:AD25"/>
    <mergeCell ref="N49:P49"/>
    <mergeCell ref="B46:D46"/>
    <mergeCell ref="E46:G46"/>
    <mergeCell ref="H46:I46"/>
    <mergeCell ref="K46:X46"/>
    <mergeCell ref="Y46:AD46"/>
    <mergeCell ref="B47:D47"/>
    <mergeCell ref="E47:G47"/>
    <mergeCell ref="H47:I47"/>
    <mergeCell ref="K47:S47"/>
    <mergeCell ref="T47:X47"/>
    <mergeCell ref="B44:D44"/>
    <mergeCell ref="B41:D41"/>
    <mergeCell ref="E41:G41"/>
    <mergeCell ref="H41:I41"/>
    <mergeCell ref="K41:X41"/>
    <mergeCell ref="Y41:AD41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E44:G44"/>
    <mergeCell ref="H44:I44"/>
    <mergeCell ref="K44:X44"/>
    <mergeCell ref="Y44:AD44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Y32:AD32"/>
    <mergeCell ref="B33:D33"/>
    <mergeCell ref="E33:G33"/>
    <mergeCell ref="H33:I33"/>
    <mergeCell ref="K33:X33"/>
    <mergeCell ref="Y33:AD33"/>
    <mergeCell ref="B34:D34"/>
    <mergeCell ref="E34:G34"/>
    <mergeCell ref="H34:I34"/>
    <mergeCell ref="K34:X34"/>
    <mergeCell ref="Y34:AD34"/>
    <mergeCell ref="A27:A47"/>
    <mergeCell ref="B27:D27"/>
    <mergeCell ref="E27:G27"/>
    <mergeCell ref="H27:I27"/>
    <mergeCell ref="K27:X27"/>
    <mergeCell ref="Y27:AD27"/>
    <mergeCell ref="B28:D28"/>
    <mergeCell ref="E28:G28"/>
    <mergeCell ref="H28:I28"/>
    <mergeCell ref="K28:X28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B26:D26"/>
    <mergeCell ref="E26:G26"/>
    <mergeCell ref="H26:I26"/>
    <mergeCell ref="K26:X26"/>
    <mergeCell ref="Y26:AD26"/>
    <mergeCell ref="Y28:AD28"/>
    <mergeCell ref="B29:D29"/>
    <mergeCell ref="E29:G29"/>
    <mergeCell ref="H29:I29"/>
    <mergeCell ref="K29:X29"/>
    <mergeCell ref="Y29:AD29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6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DEF5-1D11-4B54-989D-F9B0EE7C3322}">
  <sheetPr>
    <pageSetUpPr fitToPage="1"/>
  </sheetPr>
  <dimension ref="A1:AM187"/>
  <sheetViews>
    <sheetView view="pageBreakPreview" topLeftCell="A30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1242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46131</v>
      </c>
      <c r="Y5" s="55"/>
      <c r="Z5" s="55"/>
      <c r="AA5" s="55"/>
      <c r="AB5" s="56">
        <f>WEEKDAY(X5)</f>
        <v>1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2</v>
      </c>
      <c r="R9" s="72"/>
      <c r="S9" s="71">
        <f>SUM(H12:I46)</f>
        <v>17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4</v>
      </c>
      <c r="I30" s="103"/>
      <c r="J30" s="26" t="s">
        <v>22</v>
      </c>
      <c r="K30" s="104" t="s">
        <v>246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4</v>
      </c>
      <c r="I35" s="103"/>
      <c r="J35" s="26" t="s">
        <v>22</v>
      </c>
      <c r="K35" s="104" t="s">
        <v>247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</v>
      </c>
      <c r="I39" s="103"/>
      <c r="J39" s="26" t="s">
        <v>22</v>
      </c>
      <c r="K39" s="104" t="s">
        <v>249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248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/>
      <c r="I44" s="103"/>
      <c r="J44" s="26" t="s">
        <v>54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7.25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6</v>
      </c>
      <c r="I46" s="142"/>
      <c r="J46" s="42" t="s">
        <v>22</v>
      </c>
      <c r="K46" s="138" t="s">
        <v>245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40"/>
      <c r="Y46" s="131"/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46131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46131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7">
    <mergeCell ref="Y44:AD44"/>
    <mergeCell ref="Y46:AD46"/>
    <mergeCell ref="AD1:AD2"/>
    <mergeCell ref="AA1:AC2"/>
    <mergeCell ref="Z1:Z2"/>
    <mergeCell ref="X1:Y2"/>
    <mergeCell ref="A9:B10"/>
    <mergeCell ref="B45:D45"/>
    <mergeCell ref="E45:G45"/>
    <mergeCell ref="H45:I45"/>
    <mergeCell ref="K45:X45"/>
    <mergeCell ref="Y45:AD45"/>
    <mergeCell ref="B41:D41"/>
    <mergeCell ref="B42:D42"/>
    <mergeCell ref="E42:G42"/>
    <mergeCell ref="H42:I42"/>
    <mergeCell ref="K42:X42"/>
    <mergeCell ref="Y42:AD42"/>
    <mergeCell ref="B38:D38"/>
    <mergeCell ref="E38:G38"/>
    <mergeCell ref="H38:I38"/>
    <mergeCell ref="K38:X38"/>
    <mergeCell ref="Y38:AD38"/>
    <mergeCell ref="B39:D39"/>
    <mergeCell ref="F48:H48"/>
    <mergeCell ref="K46:X46"/>
    <mergeCell ref="N48:P48"/>
    <mergeCell ref="B40:D40"/>
    <mergeCell ref="E40:G40"/>
    <mergeCell ref="H40:I40"/>
    <mergeCell ref="K40:X40"/>
    <mergeCell ref="Y40:AD40"/>
    <mergeCell ref="E41:G41"/>
    <mergeCell ref="H41:I41"/>
    <mergeCell ref="K41:X41"/>
    <mergeCell ref="Y41:AD41"/>
    <mergeCell ref="B46:D46"/>
    <mergeCell ref="E46:G46"/>
    <mergeCell ref="H46:I46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9:G39"/>
    <mergeCell ref="H39:I39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B0BB-2BEB-48D4-837A-1B0D2B705861}">
  <sheetPr>
    <pageSetUpPr fitToPage="1"/>
  </sheetPr>
  <dimension ref="A1:AM187"/>
  <sheetViews>
    <sheetView view="pageBreakPreview" topLeftCell="A27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1243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120</v>
      </c>
      <c r="G5" s="38"/>
      <c r="H5" s="39"/>
      <c r="I5" s="39"/>
      <c r="J5" s="39"/>
      <c r="K5" s="38" t="s">
        <v>5</v>
      </c>
      <c r="L5" s="39"/>
      <c r="M5" s="46" t="s">
        <v>120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46132</v>
      </c>
      <c r="Y5" s="55"/>
      <c r="Z5" s="55"/>
      <c r="AA5" s="55"/>
      <c r="AB5" s="56">
        <f>WEEKDAY(X5)</f>
        <v>2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81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1</v>
      </c>
      <c r="I20" s="103"/>
      <c r="J20" s="26" t="s">
        <v>54</v>
      </c>
      <c r="K20" s="104" t="s">
        <v>223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154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8</v>
      </c>
      <c r="I30" s="103"/>
      <c r="J30" s="26" t="s">
        <v>22</v>
      </c>
      <c r="K30" s="104" t="s">
        <v>225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>
        <v>1</v>
      </c>
      <c r="I34" s="103"/>
      <c r="J34" s="26" t="s">
        <v>22</v>
      </c>
      <c r="K34" s="104" t="s">
        <v>224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153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226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27.7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11</v>
      </c>
      <c r="I39" s="103"/>
      <c r="J39" s="26" t="s">
        <v>22</v>
      </c>
      <c r="K39" s="104" t="s">
        <v>222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169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152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11</v>
      </c>
      <c r="I44" s="103"/>
      <c r="J44" s="26" t="s">
        <v>54</v>
      </c>
      <c r="K44" s="104" t="s">
        <v>404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29</v>
      </c>
      <c r="I46" s="142"/>
      <c r="J46" s="42" t="s">
        <v>22</v>
      </c>
      <c r="K46" s="135" t="s">
        <v>221</v>
      </c>
      <c r="L46" s="136"/>
      <c r="M46" s="136"/>
      <c r="N46" s="136"/>
      <c r="O46" s="136"/>
      <c r="P46" s="136"/>
      <c r="Q46" s="136"/>
      <c r="R46" s="136"/>
      <c r="S46" s="136"/>
      <c r="T46" s="136" t="s">
        <v>220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46132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46132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E209-4861-44C5-9F66-A9DE814AFC4B}">
  <sheetPr>
    <pageSetUpPr fitToPage="1"/>
  </sheetPr>
  <dimension ref="A1:AM187"/>
  <sheetViews>
    <sheetView view="pageBreakPreview" topLeftCell="A21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1244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46133</v>
      </c>
      <c r="Y5" s="55"/>
      <c r="Z5" s="55"/>
      <c r="AA5" s="55"/>
      <c r="AB5" s="56">
        <f>WEEKDAY(X5)</f>
        <v>3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79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3</v>
      </c>
      <c r="I20" s="103"/>
      <c r="J20" s="26" t="s">
        <v>54</v>
      </c>
      <c r="K20" s="104" t="s">
        <v>171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154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7</v>
      </c>
      <c r="I30" s="103"/>
      <c r="J30" s="26" t="s">
        <v>22</v>
      </c>
      <c r="K30" s="104" t="s">
        <v>216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153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217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29.2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10</v>
      </c>
      <c r="I39" s="103"/>
      <c r="J39" s="26" t="s">
        <v>22</v>
      </c>
      <c r="K39" s="104" t="s">
        <v>398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169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152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2</v>
      </c>
      <c r="I43" s="103"/>
      <c r="J43" s="26" t="s">
        <v>22</v>
      </c>
      <c r="K43" s="104" t="s">
        <v>219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13</v>
      </c>
      <c r="I44" s="103"/>
      <c r="J44" s="26" t="s">
        <v>54</v>
      </c>
      <c r="K44" s="104" t="s">
        <v>405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>
        <v>1</v>
      </c>
      <c r="I45" s="103"/>
      <c r="J45" s="26" t="s">
        <v>22</v>
      </c>
      <c r="K45" s="104" t="s">
        <v>218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1.2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23</v>
      </c>
      <c r="I46" s="142"/>
      <c r="J46" s="42" t="s">
        <v>22</v>
      </c>
      <c r="K46" s="135" t="s">
        <v>215</v>
      </c>
      <c r="L46" s="136"/>
      <c r="M46" s="136"/>
      <c r="N46" s="136"/>
      <c r="O46" s="136"/>
      <c r="P46" s="136"/>
      <c r="Q46" s="136"/>
      <c r="R46" s="136"/>
      <c r="S46" s="136"/>
      <c r="T46" s="136" t="s">
        <v>214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46133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46133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ED3E-E1B9-4894-ADCA-9737D10DD519}">
  <sheetPr>
    <pageSetUpPr fitToPage="1"/>
  </sheetPr>
  <dimension ref="A1:AM188"/>
  <sheetViews>
    <sheetView view="pageBreakPreview" topLeftCell="A23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1245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46134</v>
      </c>
      <c r="Y5" s="55"/>
      <c r="Z5" s="55"/>
      <c r="AA5" s="55"/>
      <c r="AB5" s="56">
        <f>WEEKDAY(X5)</f>
        <v>4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SUM(H12:I47)</f>
        <v>58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116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3</v>
      </c>
      <c r="I20" s="103"/>
      <c r="J20" s="26" t="s">
        <v>54</v>
      </c>
      <c r="K20" s="104" t="s">
        <v>171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2</v>
      </c>
      <c r="I24" s="103"/>
      <c r="J24" s="26" t="s">
        <v>22</v>
      </c>
      <c r="K24" s="104" t="s">
        <v>154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2</v>
      </c>
      <c r="I29" s="103"/>
      <c r="J29" s="26" t="s">
        <v>22</v>
      </c>
      <c r="K29" s="104" t="s">
        <v>165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8</v>
      </c>
      <c r="I30" s="103"/>
      <c r="J30" s="26" t="s">
        <v>22</v>
      </c>
      <c r="K30" s="104" t="s">
        <v>399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153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163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28.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7</v>
      </c>
      <c r="I39" s="103"/>
      <c r="J39" s="26" t="s">
        <v>22</v>
      </c>
      <c r="K39" s="104" t="s">
        <v>170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169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97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152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99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43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43</v>
      </c>
      <c r="C44" s="116"/>
      <c r="D44" s="117"/>
      <c r="E44" s="104" t="s">
        <v>68</v>
      </c>
      <c r="F44" s="105"/>
      <c r="G44" s="106"/>
      <c r="H44" s="102">
        <v>12</v>
      </c>
      <c r="I44" s="103"/>
      <c r="J44" s="26" t="s">
        <v>54</v>
      </c>
      <c r="K44" s="104" t="s">
        <v>406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43</v>
      </c>
      <c r="C45" s="116"/>
      <c r="D45" s="117"/>
      <c r="E45" s="115" t="s">
        <v>73</v>
      </c>
      <c r="F45" s="116"/>
      <c r="G45" s="117"/>
      <c r="H45" s="102">
        <v>3</v>
      </c>
      <c r="I45" s="103"/>
      <c r="J45" s="26" t="s">
        <v>22</v>
      </c>
      <c r="K45" s="104" t="s">
        <v>164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>
      <c r="A46" s="107"/>
      <c r="B46" s="152" t="s">
        <v>166</v>
      </c>
      <c r="C46" s="116"/>
      <c r="D46" s="117"/>
      <c r="E46" s="104" t="s">
        <v>167</v>
      </c>
      <c r="F46" s="105"/>
      <c r="G46" s="106"/>
      <c r="H46" s="102">
        <v>3</v>
      </c>
      <c r="I46" s="103"/>
      <c r="J46" s="26" t="s">
        <v>22</v>
      </c>
      <c r="K46" s="104" t="s">
        <v>168</v>
      </c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6"/>
      <c r="Y46" s="112"/>
      <c r="Z46" s="113"/>
      <c r="AA46" s="113"/>
      <c r="AB46" s="113"/>
      <c r="AC46" s="113"/>
      <c r="AD46" s="114"/>
    </row>
    <row r="47" spans="1:30" s="41" customFormat="1" ht="122.25" customHeight="1" thickBot="1">
      <c r="A47" s="124"/>
      <c r="B47" s="135" t="s">
        <v>64</v>
      </c>
      <c r="C47" s="136"/>
      <c r="D47" s="137"/>
      <c r="E47" s="138" t="s">
        <v>74</v>
      </c>
      <c r="F47" s="139"/>
      <c r="G47" s="140"/>
      <c r="H47" s="141"/>
      <c r="I47" s="142"/>
      <c r="J47" s="42" t="s">
        <v>22</v>
      </c>
      <c r="K47" s="135" t="s">
        <v>162</v>
      </c>
      <c r="L47" s="136"/>
      <c r="M47" s="136"/>
      <c r="N47" s="136"/>
      <c r="O47" s="136"/>
      <c r="P47" s="136"/>
      <c r="Q47" s="136"/>
      <c r="R47" s="136"/>
      <c r="S47" s="136"/>
      <c r="T47" s="136" t="s">
        <v>161</v>
      </c>
      <c r="U47" s="136"/>
      <c r="V47" s="136"/>
      <c r="W47" s="136"/>
      <c r="X47" s="137"/>
      <c r="Y47" s="131" t="s">
        <v>118</v>
      </c>
      <c r="Z47" s="132"/>
      <c r="AA47" s="132"/>
      <c r="AB47" s="132"/>
      <c r="AC47" s="132"/>
      <c r="AD47" s="133"/>
    </row>
    <row r="48" spans="1:30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  <c r="AC48" s="27"/>
      <c r="AD48" s="27"/>
    </row>
    <row r="49" spans="1:30" ht="18" customHeight="1">
      <c r="C49" s="5" t="s">
        <v>24</v>
      </c>
      <c r="D49" s="28" t="s">
        <v>102</v>
      </c>
      <c r="E49" s="29"/>
      <c r="F49" s="134">
        <f>$X5</f>
        <v>46134</v>
      </c>
      <c r="G49" s="134"/>
      <c r="H49" s="134"/>
      <c r="I49" s="30"/>
      <c r="K49" s="5" t="s">
        <v>70</v>
      </c>
      <c r="L49" s="28" t="s">
        <v>103</v>
      </c>
      <c r="M49" s="29"/>
      <c r="N49" s="134">
        <f>$X5</f>
        <v>46134</v>
      </c>
      <c r="O49" s="134"/>
      <c r="P49" s="134"/>
      <c r="R49" s="6" t="s">
        <v>394</v>
      </c>
      <c r="S49" s="6"/>
      <c r="T49" s="6"/>
      <c r="U49" s="28" t="s">
        <v>395</v>
      </c>
      <c r="W49" s="5" t="s">
        <v>40</v>
      </c>
      <c r="X49" s="28" t="s">
        <v>53</v>
      </c>
      <c r="Y49" s="48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0.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</sheetData>
  <mergeCells count="213">
    <mergeCell ref="B44:D44"/>
    <mergeCell ref="E44:G44"/>
    <mergeCell ref="H44:I44"/>
    <mergeCell ref="K44:X44"/>
    <mergeCell ref="Y44:AD44"/>
    <mergeCell ref="Y47:AD47"/>
    <mergeCell ref="F49:H49"/>
    <mergeCell ref="B46:D46"/>
    <mergeCell ref="E46:G46"/>
    <mergeCell ref="H46:I46"/>
    <mergeCell ref="K46:X46"/>
    <mergeCell ref="Y46:AD46"/>
    <mergeCell ref="B45:D45"/>
    <mergeCell ref="E45:G45"/>
    <mergeCell ref="H45:I45"/>
    <mergeCell ref="K45:X45"/>
    <mergeCell ref="Y45:AD45"/>
    <mergeCell ref="B47:D47"/>
    <mergeCell ref="E47:G47"/>
    <mergeCell ref="H47:I47"/>
    <mergeCell ref="K47:S47"/>
    <mergeCell ref="T47:X47"/>
    <mergeCell ref="N49:P49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7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543F-B481-46C0-92F6-D610547FAFCC}">
  <sheetPr>
    <pageSetUpPr fitToPage="1"/>
  </sheetPr>
  <dimension ref="A1:AM187"/>
  <sheetViews>
    <sheetView view="pageBreakPreview" topLeftCell="A24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1246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46135</v>
      </c>
      <c r="Y5" s="55"/>
      <c r="Z5" s="55"/>
      <c r="AA5" s="55"/>
      <c r="AB5" s="56">
        <f>WEEKDAY(X5)</f>
        <v>5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94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127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155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5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>
        <v>5</v>
      </c>
      <c r="I24" s="103"/>
      <c r="J24" s="26" t="s">
        <v>22</v>
      </c>
      <c r="K24" s="104" t="s">
        <v>154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6</v>
      </c>
      <c r="I30" s="103"/>
      <c r="J30" s="26" t="s">
        <v>22</v>
      </c>
      <c r="K30" s="104" t="s">
        <v>160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>
        <v>2</v>
      </c>
      <c r="I35" s="103"/>
      <c r="J35" s="26" t="s">
        <v>22</v>
      </c>
      <c r="K35" s="104" t="s">
        <v>153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129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29.2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7</v>
      </c>
      <c r="I39" s="103"/>
      <c r="J39" s="26" t="s">
        <v>22</v>
      </c>
      <c r="K39" s="104" t="s">
        <v>158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7</v>
      </c>
      <c r="I40" s="103"/>
      <c r="J40" s="26" t="s">
        <v>22</v>
      </c>
      <c r="K40" s="104" t="s">
        <v>159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97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152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99</v>
      </c>
      <c r="C42" s="105"/>
      <c r="D42" s="106"/>
      <c r="E42" s="104" t="s">
        <v>98</v>
      </c>
      <c r="F42" s="105"/>
      <c r="G42" s="106"/>
      <c r="H42" s="102">
        <v>2</v>
      </c>
      <c r="I42" s="103"/>
      <c r="J42" s="26" t="s">
        <v>22</v>
      </c>
      <c r="K42" s="104" t="s">
        <v>150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43</v>
      </c>
      <c r="C43" s="116"/>
      <c r="D43" s="117"/>
      <c r="E43" s="104" t="s">
        <v>69</v>
      </c>
      <c r="F43" s="105"/>
      <c r="G43" s="106"/>
      <c r="H43" s="102">
        <v>2</v>
      </c>
      <c r="I43" s="103"/>
      <c r="J43" s="26" t="s">
        <v>22</v>
      </c>
      <c r="K43" s="104" t="s">
        <v>130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43</v>
      </c>
      <c r="C44" s="116"/>
      <c r="D44" s="117"/>
      <c r="E44" s="104" t="s">
        <v>68</v>
      </c>
      <c r="F44" s="105"/>
      <c r="G44" s="106"/>
      <c r="H44" s="102">
        <v>14</v>
      </c>
      <c r="I44" s="103"/>
      <c r="J44" s="26" t="s">
        <v>54</v>
      </c>
      <c r="K44" s="104" t="s">
        <v>407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43</v>
      </c>
      <c r="C45" s="116"/>
      <c r="D45" s="117"/>
      <c r="E45" s="115" t="s">
        <v>73</v>
      </c>
      <c r="F45" s="116"/>
      <c r="G45" s="117"/>
      <c r="H45" s="102">
        <v>2</v>
      </c>
      <c r="I45" s="103"/>
      <c r="J45" s="26" t="s">
        <v>22</v>
      </c>
      <c r="K45" s="104" t="s">
        <v>151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18.5" customHeight="1" thickBot="1">
      <c r="A46" s="124"/>
      <c r="B46" s="135" t="s">
        <v>64</v>
      </c>
      <c r="C46" s="136"/>
      <c r="D46" s="137"/>
      <c r="E46" s="138" t="s">
        <v>74</v>
      </c>
      <c r="F46" s="139"/>
      <c r="G46" s="140"/>
      <c r="H46" s="141">
        <v>30</v>
      </c>
      <c r="I46" s="142"/>
      <c r="J46" s="42" t="s">
        <v>22</v>
      </c>
      <c r="K46" s="135" t="s">
        <v>157</v>
      </c>
      <c r="L46" s="136"/>
      <c r="M46" s="136"/>
      <c r="N46" s="136"/>
      <c r="O46" s="136"/>
      <c r="P46" s="136"/>
      <c r="Q46" s="136"/>
      <c r="R46" s="136"/>
      <c r="S46" s="136"/>
      <c r="T46" s="136" t="s">
        <v>156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46135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46135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78E1-283D-4E7D-A41A-C69217F37E5E}">
  <sheetPr>
    <pageSetUpPr fitToPage="1"/>
  </sheetPr>
  <dimension ref="A1:AM187"/>
  <sheetViews>
    <sheetView view="pageBreakPreview" topLeftCell="A30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1247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120</v>
      </c>
      <c r="G5" s="38"/>
      <c r="H5" s="39"/>
      <c r="I5" s="39"/>
      <c r="J5" s="39"/>
      <c r="K5" s="38" t="s">
        <v>5</v>
      </c>
      <c r="L5" s="39"/>
      <c r="M5" s="46" t="s">
        <v>120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46136</v>
      </c>
      <c r="Y5" s="55"/>
      <c r="Z5" s="55"/>
      <c r="AA5" s="55"/>
      <c r="AB5" s="56">
        <f>WEEKDAY(X5)</f>
        <v>6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92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127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4</v>
      </c>
      <c r="I20" s="103"/>
      <c r="J20" s="26" t="s">
        <v>54</v>
      </c>
      <c r="K20" s="104" t="s">
        <v>124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194</v>
      </c>
      <c r="C28" s="116"/>
      <c r="D28" s="117"/>
      <c r="E28" s="104" t="s">
        <v>63</v>
      </c>
      <c r="F28" s="116"/>
      <c r="G28" s="117"/>
      <c r="H28" s="102">
        <v>3</v>
      </c>
      <c r="I28" s="103"/>
      <c r="J28" s="26" t="s">
        <v>22</v>
      </c>
      <c r="K28" s="104" t="s">
        <v>133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193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192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126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190</v>
      </c>
      <c r="C32" s="116"/>
      <c r="D32" s="117"/>
      <c r="E32" s="115" t="s">
        <v>76</v>
      </c>
      <c r="F32" s="116"/>
      <c r="G32" s="117"/>
      <c r="H32" s="102"/>
      <c r="I32" s="103"/>
      <c r="J32" s="26" t="s">
        <v>22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43" t="s">
        <v>61</v>
      </c>
      <c r="C33" s="44"/>
      <c r="D33" s="45"/>
      <c r="E33" s="115" t="s">
        <v>62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115" t="s">
        <v>75</v>
      </c>
      <c r="C34" s="116"/>
      <c r="D34" s="117"/>
      <c r="E34" s="115" t="s">
        <v>47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36</v>
      </c>
      <c r="C35" s="116"/>
      <c r="D35" s="117"/>
      <c r="E35" s="115" t="s">
        <v>79</v>
      </c>
      <c r="F35" s="116"/>
      <c r="G35" s="117"/>
      <c r="H35" s="102">
        <v>2</v>
      </c>
      <c r="I35" s="103"/>
      <c r="J35" s="26" t="s">
        <v>54</v>
      </c>
      <c r="K35" s="104" t="s">
        <v>129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85</v>
      </c>
      <c r="C36" s="116"/>
      <c r="D36" s="117"/>
      <c r="E36" s="115" t="s">
        <v>84</v>
      </c>
      <c r="F36" s="116"/>
      <c r="G36" s="117"/>
      <c r="H36" s="102">
        <v>4</v>
      </c>
      <c r="I36" s="103"/>
      <c r="J36" s="26" t="s">
        <v>54</v>
      </c>
      <c r="K36" s="104" t="s">
        <v>132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37</v>
      </c>
      <c r="C37" s="116"/>
      <c r="D37" s="117"/>
      <c r="E37" s="115" t="s">
        <v>60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 ht="45" customHeight="1">
      <c r="A38" s="107"/>
      <c r="B38" s="115" t="s">
        <v>81</v>
      </c>
      <c r="C38" s="116"/>
      <c r="D38" s="117"/>
      <c r="E38" s="115" t="s">
        <v>82</v>
      </c>
      <c r="F38" s="116"/>
      <c r="G38" s="117"/>
      <c r="H38" s="102">
        <v>16</v>
      </c>
      <c r="I38" s="103"/>
      <c r="J38" s="26" t="s">
        <v>22</v>
      </c>
      <c r="K38" s="104" t="s">
        <v>123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202</v>
      </c>
      <c r="C39" s="116"/>
      <c r="D39" s="117"/>
      <c r="E39" s="115" t="s">
        <v>213</v>
      </c>
      <c r="F39" s="116"/>
      <c r="G39" s="117"/>
      <c r="H39" s="102">
        <v>5</v>
      </c>
      <c r="I39" s="103"/>
      <c r="J39" s="26" t="s">
        <v>22</v>
      </c>
      <c r="K39" s="104" t="s">
        <v>125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186</v>
      </c>
      <c r="C40" s="116"/>
      <c r="D40" s="117"/>
      <c r="E40" s="115" t="s">
        <v>212</v>
      </c>
      <c r="F40" s="116"/>
      <c r="G40" s="117"/>
      <c r="H40" s="102">
        <v>3</v>
      </c>
      <c r="I40" s="103"/>
      <c r="J40" s="26" t="s">
        <v>22</v>
      </c>
      <c r="K40" s="104" t="s">
        <v>128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203</v>
      </c>
      <c r="C41" s="116"/>
      <c r="D41" s="117"/>
      <c r="E41" s="104" t="s">
        <v>211</v>
      </c>
      <c r="F41" s="105"/>
      <c r="G41" s="106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210</v>
      </c>
      <c r="F42" s="105"/>
      <c r="G42" s="106"/>
      <c r="H42" s="102">
        <v>2</v>
      </c>
      <c r="I42" s="103"/>
      <c r="J42" s="26" t="s">
        <v>22</v>
      </c>
      <c r="K42" s="104" t="s">
        <v>131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209</v>
      </c>
      <c r="F43" s="105"/>
      <c r="G43" s="106"/>
      <c r="H43" s="102">
        <v>2</v>
      </c>
      <c r="I43" s="103"/>
      <c r="J43" s="26" t="s">
        <v>22</v>
      </c>
      <c r="K43" s="104" t="s">
        <v>130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208</v>
      </c>
      <c r="F44" s="105"/>
      <c r="G44" s="106"/>
      <c r="H44" s="102">
        <v>11</v>
      </c>
      <c r="I44" s="103"/>
      <c r="J44" s="26" t="s">
        <v>54</v>
      </c>
      <c r="K44" s="104" t="s">
        <v>408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207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3.5" customHeight="1" thickBot="1">
      <c r="A46" s="124"/>
      <c r="B46" s="135" t="s">
        <v>64</v>
      </c>
      <c r="C46" s="136"/>
      <c r="D46" s="137"/>
      <c r="E46" s="138" t="s">
        <v>206</v>
      </c>
      <c r="F46" s="139"/>
      <c r="G46" s="140"/>
      <c r="H46" s="141">
        <v>28</v>
      </c>
      <c r="I46" s="142"/>
      <c r="J46" s="42" t="s">
        <v>22</v>
      </c>
      <c r="K46" s="138" t="s">
        <v>121</v>
      </c>
      <c r="L46" s="139"/>
      <c r="M46" s="139"/>
      <c r="N46" s="139"/>
      <c r="O46" s="139"/>
      <c r="P46" s="139"/>
      <c r="Q46" s="139"/>
      <c r="R46" s="139"/>
      <c r="S46" s="139"/>
      <c r="T46" s="136" t="s">
        <v>119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46136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46136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N48:P48"/>
    <mergeCell ref="A3:AD3"/>
    <mergeCell ref="X5:AA5"/>
    <mergeCell ref="A7:B7"/>
    <mergeCell ref="O7:P8"/>
    <mergeCell ref="Q7:R7"/>
    <mergeCell ref="S7:T7"/>
    <mergeCell ref="U7:X7"/>
    <mergeCell ref="Y7:AD8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Y32:AD32"/>
    <mergeCell ref="E33:G33"/>
    <mergeCell ref="H33:I33"/>
    <mergeCell ref="K33:X33"/>
    <mergeCell ref="Y33:AD33"/>
    <mergeCell ref="B34:D34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Y46:AD46"/>
    <mergeCell ref="F48:H48"/>
    <mergeCell ref="AB5:AD5"/>
    <mergeCell ref="T46:X46"/>
    <mergeCell ref="K46:S46"/>
    <mergeCell ref="B45:D45"/>
    <mergeCell ref="E45:G45"/>
    <mergeCell ref="H45:I45"/>
    <mergeCell ref="K45:X45"/>
    <mergeCell ref="Y45:AD45"/>
    <mergeCell ref="B46:D46"/>
    <mergeCell ref="E46:G46"/>
    <mergeCell ref="H46:I46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4:D44"/>
    <mergeCell ref="E44:G44"/>
    <mergeCell ref="H44:I44"/>
    <mergeCell ref="K44:X44"/>
    <mergeCell ref="Y44:AD44"/>
    <mergeCell ref="B42:D42"/>
    <mergeCell ref="E42:G42"/>
    <mergeCell ref="H42:I42"/>
    <mergeCell ref="K42:X42"/>
    <mergeCell ref="Y42:AD42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89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5558-BCCB-4CF5-9588-5FEBA1F3A166}">
  <sheetPr>
    <pageSetUpPr fitToPage="1"/>
  </sheetPr>
  <dimension ref="A1:AM187"/>
  <sheetViews>
    <sheetView tabSelected="1" view="pageBreakPreview" topLeftCell="A8" zoomScaleNormal="120" zoomScaleSheetLayoutView="100" workbookViewId="0">
      <selection activeCell="E27" sqref="E27:G2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1248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46137</v>
      </c>
      <c r="Y5" s="55"/>
      <c r="Z5" s="55"/>
      <c r="AA5" s="55"/>
      <c r="AB5" s="56">
        <f>WEEKDAY(X5)</f>
        <v>7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93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127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4</v>
      </c>
      <c r="I20" s="103"/>
      <c r="J20" s="26" t="s">
        <v>54</v>
      </c>
      <c r="K20" s="104" t="s">
        <v>147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1</v>
      </c>
      <c r="I27" s="103"/>
      <c r="J27" s="26" t="s">
        <v>22</v>
      </c>
      <c r="K27" s="104" t="s">
        <v>140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3</v>
      </c>
      <c r="I28" s="103"/>
      <c r="J28" s="26" t="s">
        <v>22</v>
      </c>
      <c r="K28" s="104" t="s">
        <v>141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145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191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190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144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>
        <v>4</v>
      </c>
      <c r="I37" s="103"/>
      <c r="J37" s="26" t="s">
        <v>54</v>
      </c>
      <c r="K37" s="104" t="s">
        <v>142</v>
      </c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1.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14</v>
      </c>
      <c r="I39" s="103"/>
      <c r="J39" s="26" t="s">
        <v>22</v>
      </c>
      <c r="K39" s="126" t="s">
        <v>400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8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205</v>
      </c>
      <c r="C40" s="116"/>
      <c r="D40" s="117"/>
      <c r="E40" s="115" t="s">
        <v>94</v>
      </c>
      <c r="F40" s="116"/>
      <c r="G40" s="117"/>
      <c r="H40" s="102">
        <v>5</v>
      </c>
      <c r="I40" s="103"/>
      <c r="J40" s="26" t="s">
        <v>22</v>
      </c>
      <c r="K40" s="104" t="s">
        <v>146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128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/>
      <c r="I42" s="103"/>
      <c r="J42" s="26" t="s">
        <v>22</v>
      </c>
      <c r="K42" s="104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1</v>
      </c>
      <c r="I43" s="103"/>
      <c r="J43" s="26" t="s">
        <v>22</v>
      </c>
      <c r="K43" s="104" t="s">
        <v>143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13</v>
      </c>
      <c r="I44" s="103"/>
      <c r="J44" s="26" t="s">
        <v>54</v>
      </c>
      <c r="K44" s="104" t="s">
        <v>409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17" customHeight="1" thickBot="1">
      <c r="A46" s="124"/>
      <c r="B46" s="135" t="s">
        <v>64</v>
      </c>
      <c r="C46" s="136"/>
      <c r="D46" s="137"/>
      <c r="E46" s="138" t="s">
        <v>74</v>
      </c>
      <c r="F46" s="139"/>
      <c r="G46" s="140"/>
      <c r="H46" s="141">
        <v>30</v>
      </c>
      <c r="I46" s="142"/>
      <c r="J46" s="42" t="s">
        <v>22</v>
      </c>
      <c r="K46" s="135" t="s">
        <v>148</v>
      </c>
      <c r="L46" s="136"/>
      <c r="M46" s="136"/>
      <c r="N46" s="136"/>
      <c r="O46" s="136"/>
      <c r="P46" s="136"/>
      <c r="Q46" s="136"/>
      <c r="R46" s="136"/>
      <c r="S46" s="136"/>
      <c r="T46" s="136" t="s">
        <v>149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46137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46137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8C3D-3FB2-4195-BB10-1987D86B778A}">
  <sheetPr>
    <pageSetUpPr fitToPage="1"/>
  </sheetPr>
  <dimension ref="A1:AM188"/>
  <sheetViews>
    <sheetView view="pageBreakPreview" topLeftCell="A32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1249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46138</v>
      </c>
      <c r="Y5" s="55"/>
      <c r="Z5" s="55"/>
      <c r="AA5" s="55"/>
      <c r="AB5" s="56">
        <f>WEEKDAY(X5)</f>
        <v>1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1</v>
      </c>
      <c r="D9" s="87"/>
      <c r="E9" s="87">
        <v>0</v>
      </c>
      <c r="F9" s="87"/>
      <c r="G9" s="87">
        <v>0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</v>
      </c>
      <c r="R9" s="72"/>
      <c r="S9" s="71">
        <f>SUM(H12:I47)</f>
        <v>28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/>
      <c r="I17" s="103"/>
      <c r="J17" s="26" t="s">
        <v>54</v>
      </c>
      <c r="K17" s="10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/>
      <c r="I20" s="103"/>
      <c r="J20" s="26" t="s">
        <v>54</v>
      </c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/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194</v>
      </c>
      <c r="C28" s="116"/>
      <c r="D28" s="117"/>
      <c r="E28" s="104" t="s">
        <v>63</v>
      </c>
      <c r="F28" s="116"/>
      <c r="G28" s="117"/>
      <c r="H28" s="102"/>
      <c r="I28" s="103"/>
      <c r="J28" s="26" t="s">
        <v>22</v>
      </c>
      <c r="K28" s="10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193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>
      <c r="A30" s="107"/>
      <c r="B30" s="115" t="s">
        <v>192</v>
      </c>
      <c r="C30" s="116"/>
      <c r="D30" s="117"/>
      <c r="E30" s="115" t="s">
        <v>91</v>
      </c>
      <c r="F30" s="116"/>
      <c r="G30" s="117"/>
      <c r="H30" s="102">
        <v>5</v>
      </c>
      <c r="I30" s="103"/>
      <c r="J30" s="26" t="s">
        <v>22</v>
      </c>
      <c r="K30" s="104" t="s">
        <v>134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191</v>
      </c>
      <c r="C31" s="116"/>
      <c r="D31" s="117"/>
      <c r="E31" s="125" t="s">
        <v>135</v>
      </c>
      <c r="F31" s="105"/>
      <c r="G31" s="106"/>
      <c r="H31" s="102">
        <v>4</v>
      </c>
      <c r="I31" s="103"/>
      <c r="J31" s="26" t="s">
        <v>54</v>
      </c>
      <c r="K31" s="104" t="s">
        <v>136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204</v>
      </c>
      <c r="C32" s="116"/>
      <c r="D32" s="117"/>
      <c r="E32" s="125" t="s">
        <v>105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190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/>
      <c r="I36" s="103"/>
      <c r="J36" s="26" t="s">
        <v>54</v>
      </c>
      <c r="K36" s="10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2</v>
      </c>
      <c r="I39" s="103"/>
      <c r="J39" s="26" t="s">
        <v>22</v>
      </c>
      <c r="K39" s="104" t="s">
        <v>138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/>
      <c r="I40" s="103"/>
      <c r="J40" s="26" t="s">
        <v>22</v>
      </c>
      <c r="K40" s="104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2</v>
      </c>
      <c r="I41" s="103"/>
      <c r="J41" s="26" t="s">
        <v>22</v>
      </c>
      <c r="K41" s="104" t="s">
        <v>139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15" t="s">
        <v>203</v>
      </c>
      <c r="C42" s="116"/>
      <c r="D42" s="117"/>
      <c r="E42" s="104" t="s">
        <v>92</v>
      </c>
      <c r="F42" s="105"/>
      <c r="G42" s="106"/>
      <c r="H42" s="102"/>
      <c r="I42" s="103"/>
      <c r="J42" s="26" t="s">
        <v>22</v>
      </c>
      <c r="K42" s="104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6"/>
      <c r="Y42" s="112"/>
      <c r="Z42" s="113"/>
      <c r="AA42" s="113"/>
      <c r="AB42" s="113"/>
      <c r="AC42" s="113"/>
      <c r="AD42" s="114"/>
    </row>
    <row r="43" spans="1:30">
      <c r="A43" s="107"/>
      <c r="B43" s="104" t="s">
        <v>187</v>
      </c>
      <c r="C43" s="105"/>
      <c r="D43" s="106"/>
      <c r="E43" s="104" t="s">
        <v>98</v>
      </c>
      <c r="F43" s="105"/>
      <c r="G43" s="106"/>
      <c r="H43" s="102"/>
      <c r="I43" s="103"/>
      <c r="J43" s="26" t="s">
        <v>22</v>
      </c>
      <c r="K43" s="104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30"/>
      <c r="Y43" s="112"/>
      <c r="Z43" s="113"/>
      <c r="AA43" s="113"/>
      <c r="AB43" s="113"/>
      <c r="AC43" s="113"/>
      <c r="AD43" s="114"/>
    </row>
    <row r="44" spans="1:30">
      <c r="A44" s="107"/>
      <c r="B44" s="115" t="s">
        <v>188</v>
      </c>
      <c r="C44" s="116"/>
      <c r="D44" s="117"/>
      <c r="E44" s="104" t="s">
        <v>69</v>
      </c>
      <c r="F44" s="105"/>
      <c r="G44" s="106"/>
      <c r="H44" s="102"/>
      <c r="I44" s="103"/>
      <c r="J44" s="26" t="s">
        <v>22</v>
      </c>
      <c r="K44" s="104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04" t="s">
        <v>68</v>
      </c>
      <c r="F45" s="105"/>
      <c r="G45" s="106"/>
      <c r="H45" s="102"/>
      <c r="I45" s="103"/>
      <c r="J45" s="26" t="s">
        <v>54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>
      <c r="A46" s="107"/>
      <c r="B46" s="115" t="s">
        <v>188</v>
      </c>
      <c r="C46" s="116"/>
      <c r="D46" s="117"/>
      <c r="E46" s="115" t="s">
        <v>73</v>
      </c>
      <c r="F46" s="116"/>
      <c r="G46" s="117"/>
      <c r="H46" s="102"/>
      <c r="I46" s="103"/>
      <c r="J46" s="26" t="s">
        <v>22</v>
      </c>
      <c r="K46" s="104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6"/>
      <c r="Y46" s="112"/>
      <c r="Z46" s="113"/>
      <c r="AA46" s="113"/>
      <c r="AB46" s="113"/>
      <c r="AC46" s="113"/>
      <c r="AD46" s="114"/>
    </row>
    <row r="47" spans="1:30" s="41" customFormat="1" ht="117" customHeight="1" thickBot="1">
      <c r="A47" s="124"/>
      <c r="B47" s="135" t="s">
        <v>64</v>
      </c>
      <c r="C47" s="136"/>
      <c r="D47" s="137"/>
      <c r="E47" s="138" t="s">
        <v>74</v>
      </c>
      <c r="F47" s="139"/>
      <c r="G47" s="140"/>
      <c r="H47" s="141">
        <v>15</v>
      </c>
      <c r="I47" s="142"/>
      <c r="J47" s="42" t="s">
        <v>22</v>
      </c>
      <c r="K47" s="135" t="s">
        <v>137</v>
      </c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7"/>
      <c r="Y47" s="131"/>
      <c r="Z47" s="132"/>
      <c r="AA47" s="132"/>
      <c r="AB47" s="132"/>
      <c r="AC47" s="132"/>
      <c r="AD47" s="133"/>
    </row>
    <row r="48" spans="1:30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  <c r="AC48" s="27"/>
      <c r="AD48" s="27"/>
    </row>
    <row r="49" spans="1:30" ht="18" customHeight="1">
      <c r="C49" s="5" t="s">
        <v>24</v>
      </c>
      <c r="D49" s="28" t="s">
        <v>102</v>
      </c>
      <c r="E49" s="29"/>
      <c r="F49" s="134">
        <f>$X5</f>
        <v>46138</v>
      </c>
      <c r="G49" s="134"/>
      <c r="H49" s="134"/>
      <c r="I49" s="30"/>
      <c r="K49" s="5" t="s">
        <v>70</v>
      </c>
      <c r="L49" s="28" t="s">
        <v>103</v>
      </c>
      <c r="M49" s="29"/>
      <c r="N49" s="134">
        <f>$X5</f>
        <v>46138</v>
      </c>
      <c r="O49" s="134"/>
      <c r="P49" s="134"/>
      <c r="R49" s="6" t="s">
        <v>394</v>
      </c>
      <c r="S49" s="6"/>
      <c r="T49" s="6"/>
      <c r="U49" s="28" t="s">
        <v>395</v>
      </c>
      <c r="W49" s="5" t="s">
        <v>40</v>
      </c>
      <c r="X49" s="28" t="s">
        <v>53</v>
      </c>
      <c r="Y49" s="48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0.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</sheetData>
  <mergeCells count="213">
    <mergeCell ref="AD1:AD2"/>
    <mergeCell ref="AA1:AC2"/>
    <mergeCell ref="Z1:Z2"/>
    <mergeCell ref="X1:Y2"/>
    <mergeCell ref="A9:B10"/>
    <mergeCell ref="N49:P49"/>
    <mergeCell ref="Y47:AD47"/>
    <mergeCell ref="F49:H49"/>
    <mergeCell ref="B32:D32"/>
    <mergeCell ref="E32:G32"/>
    <mergeCell ref="H32:I32"/>
    <mergeCell ref="K32:X32"/>
    <mergeCell ref="Y32:AD32"/>
    <mergeCell ref="B46:D46"/>
    <mergeCell ref="E46:G46"/>
    <mergeCell ref="H46:I46"/>
    <mergeCell ref="K46:X46"/>
    <mergeCell ref="Y46:AD46"/>
    <mergeCell ref="B47:D47"/>
    <mergeCell ref="E47:G47"/>
    <mergeCell ref="H47:I47"/>
    <mergeCell ref="K47:S47"/>
    <mergeCell ref="T47:X47"/>
    <mergeCell ref="B44:D44"/>
    <mergeCell ref="E44:G44"/>
    <mergeCell ref="H44:I44"/>
    <mergeCell ref="K44:X44"/>
    <mergeCell ref="Y44:AD44"/>
    <mergeCell ref="B45:D45"/>
    <mergeCell ref="B41:D41"/>
    <mergeCell ref="E41:G41"/>
    <mergeCell ref="H41:I41"/>
    <mergeCell ref="K41:X41"/>
    <mergeCell ref="Y41:AD41"/>
    <mergeCell ref="E45:G45"/>
    <mergeCell ref="H45:I45"/>
    <mergeCell ref="K45:X45"/>
    <mergeCell ref="Y45:AD45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Y31:AD31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A26:A47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8E87-6704-440D-8B81-D01869410414}">
  <sheetPr>
    <pageSetUpPr fitToPage="1"/>
  </sheetPr>
  <dimension ref="A1:AM187"/>
  <sheetViews>
    <sheetView view="pageBreakPreview" topLeftCell="A26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1250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393</v>
      </c>
      <c r="G5" s="38"/>
      <c r="H5" s="39"/>
      <c r="I5" s="39"/>
      <c r="J5" s="39"/>
      <c r="K5" s="38" t="s">
        <v>5</v>
      </c>
      <c r="L5" s="39"/>
      <c r="M5" s="46" t="s">
        <v>393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46139</v>
      </c>
      <c r="Y5" s="55"/>
      <c r="Z5" s="55"/>
      <c r="AA5" s="55"/>
      <c r="AB5" s="56">
        <f>WEEKDAY(X5)</f>
        <v>2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92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127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4</v>
      </c>
      <c r="I20" s="103"/>
      <c r="J20" s="26" t="s">
        <v>54</v>
      </c>
      <c r="K20" s="104" t="s">
        <v>229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/>
      <c r="I27" s="103"/>
      <c r="J27" s="26" t="s">
        <v>22</v>
      </c>
      <c r="K27" s="10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2</v>
      </c>
      <c r="I28" s="103"/>
      <c r="J28" s="26" t="s">
        <v>22</v>
      </c>
      <c r="K28" s="104" t="s">
        <v>233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/>
      <c r="I29" s="103"/>
      <c r="J29" s="26" t="s">
        <v>22</v>
      </c>
      <c r="K29" s="10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3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26" t="s">
        <v>401</v>
      </c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8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/>
      <c r="I31" s="103"/>
      <c r="J31" s="26" t="s">
        <v>54</v>
      </c>
      <c r="K31" s="10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144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>
        <v>2</v>
      </c>
      <c r="I37" s="103"/>
      <c r="J37" s="26" t="s">
        <v>54</v>
      </c>
      <c r="K37" s="104" t="s">
        <v>232</v>
      </c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33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15</v>
      </c>
      <c r="I39" s="103"/>
      <c r="J39" s="26" t="s">
        <v>22</v>
      </c>
      <c r="K39" s="126" t="s">
        <v>423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8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3</v>
      </c>
      <c r="I40" s="103"/>
      <c r="J40" s="26" t="s">
        <v>22</v>
      </c>
      <c r="K40" s="104" t="s">
        <v>230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117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1</v>
      </c>
      <c r="I42" s="103"/>
      <c r="J42" s="26" t="s">
        <v>22</v>
      </c>
      <c r="K42" s="104" t="s">
        <v>234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4</v>
      </c>
      <c r="I43" s="103"/>
      <c r="J43" s="26" t="s">
        <v>22</v>
      </c>
      <c r="K43" s="104" t="s">
        <v>231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13</v>
      </c>
      <c r="I44" s="103"/>
      <c r="J44" s="26" t="s">
        <v>54</v>
      </c>
      <c r="K44" s="104" t="s">
        <v>410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18.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30</v>
      </c>
      <c r="I46" s="142"/>
      <c r="J46" s="42" t="s">
        <v>22</v>
      </c>
      <c r="K46" s="135" t="s">
        <v>228</v>
      </c>
      <c r="L46" s="136"/>
      <c r="M46" s="136"/>
      <c r="N46" s="136"/>
      <c r="O46" s="136"/>
      <c r="P46" s="136"/>
      <c r="Q46" s="136"/>
      <c r="R46" s="136"/>
      <c r="S46" s="136"/>
      <c r="T46" s="136" t="s">
        <v>227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46139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46139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U7:X7"/>
    <mergeCell ref="Y7:AD8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1A99-3930-4E2A-9C77-04D299766235}">
  <sheetPr>
    <pageSetUpPr fitToPage="1"/>
  </sheetPr>
  <dimension ref="A1:AM187"/>
  <sheetViews>
    <sheetView view="pageBreakPreview" topLeftCell="A29" zoomScaleNormal="120" zoomScaleSheetLayoutView="100" workbookViewId="0">
      <selection activeCell="T47" sqref="T47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1251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46140</v>
      </c>
      <c r="Y5" s="55"/>
      <c r="Z5" s="55"/>
      <c r="AA5" s="55"/>
      <c r="AB5" s="56">
        <f>WEEKDAY(X5)</f>
        <v>3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97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1</v>
      </c>
      <c r="I17" s="103"/>
      <c r="J17" s="26" t="s">
        <v>54</v>
      </c>
      <c r="K17" s="104" t="s">
        <v>122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>
        <v>1</v>
      </c>
      <c r="I18" s="103"/>
      <c r="J18" s="26" t="s">
        <v>54</v>
      </c>
      <c r="K18" s="104" t="s">
        <v>127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/>
      <c r="I19" s="103"/>
      <c r="J19" s="26" t="s">
        <v>22</v>
      </c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3</v>
      </c>
      <c r="I20" s="103"/>
      <c r="J20" s="26" t="s">
        <v>54</v>
      </c>
      <c r="K20" s="104" t="s">
        <v>386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/>
      <c r="I22" s="103"/>
      <c r="J22" s="26" t="s">
        <v>22</v>
      </c>
      <c r="K22" s="104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2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3</v>
      </c>
      <c r="I27" s="103"/>
      <c r="J27" s="26" t="s">
        <v>22</v>
      </c>
      <c r="K27" s="104" t="s">
        <v>389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2</v>
      </c>
      <c r="I28" s="103"/>
      <c r="J28" s="26" t="s">
        <v>22</v>
      </c>
      <c r="K28" s="104" t="s">
        <v>233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1</v>
      </c>
      <c r="I29" s="103"/>
      <c r="J29" s="26" t="s">
        <v>22</v>
      </c>
      <c r="K29" s="104" t="s">
        <v>390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9</v>
      </c>
      <c r="I30" s="103"/>
      <c r="J30" s="26" t="s">
        <v>22</v>
      </c>
      <c r="K30" s="104" t="s">
        <v>388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>
        <v>2</v>
      </c>
      <c r="I31" s="103"/>
      <c r="J31" s="26" t="s">
        <v>54</v>
      </c>
      <c r="K31" s="104" t="s">
        <v>391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/>
      <c r="I32" s="103"/>
      <c r="J32" s="26" t="s">
        <v>54</v>
      </c>
      <c r="K32" s="10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2</v>
      </c>
      <c r="I36" s="103"/>
      <c r="J36" s="26" t="s">
        <v>54</v>
      </c>
      <c r="K36" s="104" t="s">
        <v>144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44.2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15</v>
      </c>
      <c r="I39" s="103"/>
      <c r="J39" s="26" t="s">
        <v>22</v>
      </c>
      <c r="K39" s="104" t="s">
        <v>385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10</v>
      </c>
      <c r="I40" s="103"/>
      <c r="J40" s="26" t="s">
        <v>22</v>
      </c>
      <c r="K40" s="126" t="s">
        <v>387</v>
      </c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8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117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1</v>
      </c>
      <c r="I42" s="103"/>
      <c r="J42" s="26" t="s">
        <v>22</v>
      </c>
      <c r="K42" s="104" t="s">
        <v>234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>
        <v>4</v>
      </c>
      <c r="I43" s="103"/>
      <c r="J43" s="26" t="s">
        <v>22</v>
      </c>
      <c r="K43" s="104" t="s">
        <v>231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42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12</v>
      </c>
      <c r="I44" s="103"/>
      <c r="J44" s="26" t="s">
        <v>54</v>
      </c>
      <c r="K44" s="104" t="s">
        <v>411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>
        <v>1</v>
      </c>
      <c r="I45" s="103"/>
      <c r="J45" s="26" t="s">
        <v>22</v>
      </c>
      <c r="K45" s="104" t="s">
        <v>392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0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25</v>
      </c>
      <c r="I46" s="142"/>
      <c r="J46" s="42" t="s">
        <v>22</v>
      </c>
      <c r="K46" s="135" t="s">
        <v>235</v>
      </c>
      <c r="L46" s="136"/>
      <c r="M46" s="136"/>
      <c r="N46" s="136"/>
      <c r="O46" s="136"/>
      <c r="P46" s="136"/>
      <c r="Q46" s="136"/>
      <c r="R46" s="136"/>
      <c r="S46" s="136"/>
      <c r="T46" s="136" t="s">
        <v>236</v>
      </c>
      <c r="U46" s="136"/>
      <c r="V46" s="136"/>
      <c r="W46" s="136"/>
      <c r="X46" s="137"/>
      <c r="Y46" s="131" t="s">
        <v>118</v>
      </c>
      <c r="Z46" s="132"/>
      <c r="AA46" s="132"/>
      <c r="AB46" s="132"/>
      <c r="AC46" s="132"/>
      <c r="AD46" s="133"/>
    </row>
    <row r="47" spans="1:30" ht="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46140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46140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U7:X7"/>
    <mergeCell ref="Y7:AD8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1300-D937-4734-B2B3-4C1ABC85C7FF}">
  <sheetPr>
    <pageSetUpPr fitToPage="1"/>
  </sheetPr>
  <dimension ref="A1:AM187"/>
  <sheetViews>
    <sheetView view="pageBreakPreview" topLeftCell="A24" zoomScale="85" zoomScaleNormal="120" zoomScaleSheetLayoutView="85" workbookViewId="0">
      <selection activeCell="K46" sqref="K46:S46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1252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46141</v>
      </c>
      <c r="Y5" s="55"/>
      <c r="Z5" s="55"/>
      <c r="AA5" s="55"/>
      <c r="AB5" s="56">
        <f>WEEKDAY(X5)</f>
        <v>4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SUM(H12:I46)</f>
        <v>94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201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>
        <v>1</v>
      </c>
      <c r="I19" s="103"/>
      <c r="J19" s="26" t="s">
        <v>22</v>
      </c>
      <c r="K19" s="104" t="s">
        <v>177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200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2</v>
      </c>
      <c r="I22" s="103"/>
      <c r="J22" s="26" t="s">
        <v>22</v>
      </c>
      <c r="K22" s="104" t="s">
        <v>176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4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4</v>
      </c>
      <c r="I27" s="103"/>
      <c r="J27" s="26" t="s">
        <v>22</v>
      </c>
      <c r="K27" s="104" t="s">
        <v>199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65</v>
      </c>
      <c r="C28" s="116"/>
      <c r="D28" s="117"/>
      <c r="E28" s="104" t="s">
        <v>63</v>
      </c>
      <c r="F28" s="116"/>
      <c r="G28" s="117"/>
      <c r="H28" s="102">
        <v>1</v>
      </c>
      <c r="I28" s="103"/>
      <c r="J28" s="26" t="s">
        <v>22</v>
      </c>
      <c r="K28" s="104" t="s">
        <v>243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78</v>
      </c>
      <c r="C29" s="116"/>
      <c r="D29" s="117"/>
      <c r="E29" s="115" t="s">
        <v>80</v>
      </c>
      <c r="F29" s="116"/>
      <c r="G29" s="117"/>
      <c r="H29" s="102">
        <v>2</v>
      </c>
      <c r="I29" s="103"/>
      <c r="J29" s="26" t="s">
        <v>22</v>
      </c>
      <c r="K29" s="104" t="s">
        <v>244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83</v>
      </c>
      <c r="C30" s="116"/>
      <c r="D30" s="117"/>
      <c r="E30" s="115" t="s">
        <v>91</v>
      </c>
      <c r="F30" s="116"/>
      <c r="G30" s="117"/>
      <c r="H30" s="102">
        <v>6</v>
      </c>
      <c r="I30" s="103"/>
      <c r="J30" s="26" t="s">
        <v>22</v>
      </c>
      <c r="K30" s="104" t="s">
        <v>242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>
        <v>1</v>
      </c>
      <c r="I31" s="103"/>
      <c r="J31" s="26" t="s">
        <v>54</v>
      </c>
      <c r="K31" s="104" t="s">
        <v>175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104</v>
      </c>
      <c r="C32" s="116"/>
      <c r="D32" s="117"/>
      <c r="E32" s="125" t="s">
        <v>135</v>
      </c>
      <c r="F32" s="105"/>
      <c r="G32" s="106"/>
      <c r="H32" s="102">
        <v>2</v>
      </c>
      <c r="I32" s="103"/>
      <c r="J32" s="26" t="s">
        <v>54</v>
      </c>
      <c r="K32" s="104" t="s">
        <v>178</v>
      </c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77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1</v>
      </c>
      <c r="I36" s="103"/>
      <c r="J36" s="26" t="s">
        <v>54</v>
      </c>
      <c r="K36" s="104" t="s">
        <v>174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41.2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11</v>
      </c>
      <c r="I39" s="103"/>
      <c r="J39" s="26" t="s">
        <v>22</v>
      </c>
      <c r="K39" s="104" t="s">
        <v>239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 ht="36" customHeight="1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9</v>
      </c>
      <c r="I40" s="103"/>
      <c r="J40" s="26" t="s">
        <v>22</v>
      </c>
      <c r="K40" s="104" t="s">
        <v>240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/>
      <c r="I41" s="103"/>
      <c r="J41" s="26" t="s">
        <v>22</v>
      </c>
      <c r="K41" s="104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3</v>
      </c>
      <c r="I42" s="103"/>
      <c r="J42" s="26" t="s">
        <v>22</v>
      </c>
      <c r="K42" s="104" t="s">
        <v>241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10</v>
      </c>
      <c r="I44" s="103"/>
      <c r="J44" s="26" t="s">
        <v>54</v>
      </c>
      <c r="K44" s="104" t="s">
        <v>402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73</v>
      </c>
      <c r="F45" s="116"/>
      <c r="G45" s="117"/>
      <c r="H45" s="102"/>
      <c r="I45" s="103"/>
      <c r="J45" s="26" t="s">
        <v>22</v>
      </c>
      <c r="K45" s="104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 s="41" customFormat="1" ht="126.75" customHeight="1" thickBot="1">
      <c r="A46" s="124"/>
      <c r="B46" s="135" t="s">
        <v>189</v>
      </c>
      <c r="C46" s="136"/>
      <c r="D46" s="137"/>
      <c r="E46" s="138" t="s">
        <v>74</v>
      </c>
      <c r="F46" s="139"/>
      <c r="G46" s="140"/>
      <c r="H46" s="141">
        <v>29</v>
      </c>
      <c r="I46" s="142"/>
      <c r="J46" s="42" t="s">
        <v>22</v>
      </c>
      <c r="K46" s="135" t="s">
        <v>238</v>
      </c>
      <c r="L46" s="136"/>
      <c r="M46" s="136"/>
      <c r="N46" s="136"/>
      <c r="O46" s="136"/>
      <c r="P46" s="136"/>
      <c r="Q46" s="136"/>
      <c r="R46" s="136"/>
      <c r="S46" s="136"/>
      <c r="T46" s="136" t="s">
        <v>237</v>
      </c>
      <c r="U46" s="136"/>
      <c r="V46" s="136"/>
      <c r="W46" s="136"/>
      <c r="X46" s="137"/>
      <c r="Y46" s="131"/>
      <c r="Z46" s="132"/>
      <c r="AA46" s="132"/>
      <c r="AB46" s="132"/>
      <c r="AC46" s="132"/>
      <c r="AD46" s="133"/>
    </row>
    <row r="47" spans="1:30" ht="1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7"/>
      <c r="Z47" s="27"/>
      <c r="AA47" s="27"/>
      <c r="AB47" s="27"/>
      <c r="AC47" s="27"/>
      <c r="AD47" s="27"/>
    </row>
    <row r="48" spans="1:30" ht="18" customHeight="1">
      <c r="C48" s="5" t="s">
        <v>24</v>
      </c>
      <c r="D48" s="28" t="s">
        <v>102</v>
      </c>
      <c r="E48" s="29"/>
      <c r="F48" s="134">
        <f>$X5</f>
        <v>46141</v>
      </c>
      <c r="G48" s="134"/>
      <c r="H48" s="134"/>
      <c r="I48" s="30"/>
      <c r="K48" s="5" t="s">
        <v>70</v>
      </c>
      <c r="L48" s="28" t="s">
        <v>103</v>
      </c>
      <c r="M48" s="29"/>
      <c r="N48" s="134">
        <f>$X5</f>
        <v>46141</v>
      </c>
      <c r="O48" s="134"/>
      <c r="P48" s="134"/>
      <c r="R48" s="6" t="s">
        <v>394</v>
      </c>
      <c r="S48" s="6"/>
      <c r="T48" s="6"/>
      <c r="U48" s="28" t="s">
        <v>395</v>
      </c>
      <c r="W48" s="5" t="s">
        <v>40</v>
      </c>
      <c r="X48" s="28" t="s">
        <v>53</v>
      </c>
      <c r="Y48" s="48"/>
      <c r="AD48" s="2"/>
    </row>
    <row r="49" spans="1:30" ht="10.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</sheetData>
  <mergeCells count="208">
    <mergeCell ref="AD1:AD2"/>
    <mergeCell ref="AA1:AC2"/>
    <mergeCell ref="Z1:Z2"/>
    <mergeCell ref="X1:Y2"/>
    <mergeCell ref="A9:B10"/>
    <mergeCell ref="U7:X7"/>
    <mergeCell ref="Y7:AD8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3:AD3"/>
    <mergeCell ref="X5:AA5"/>
    <mergeCell ref="AB5:AD5"/>
    <mergeCell ref="A7:B7"/>
    <mergeCell ref="O7:P8"/>
    <mergeCell ref="Q7:R7"/>
    <mergeCell ref="S7:T7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A26:A46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4:D44"/>
    <mergeCell ref="E44:G44"/>
    <mergeCell ref="H44:I44"/>
    <mergeCell ref="K44:X44"/>
    <mergeCell ref="Y44:AD44"/>
    <mergeCell ref="Y46:AD46"/>
    <mergeCell ref="F48:H48"/>
    <mergeCell ref="B45:D45"/>
    <mergeCell ref="E45:G45"/>
    <mergeCell ref="H45:I45"/>
    <mergeCell ref="K45:X45"/>
    <mergeCell ref="Y45:AD45"/>
    <mergeCell ref="B46:D46"/>
    <mergeCell ref="E46:G46"/>
    <mergeCell ref="H46:I46"/>
    <mergeCell ref="K46:S46"/>
    <mergeCell ref="T46:X46"/>
    <mergeCell ref="N48:P4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7B3A-4729-4EAE-9203-1544FE66BBDB}">
  <sheetPr>
    <pageSetUpPr fitToPage="1"/>
  </sheetPr>
  <dimension ref="A1:AM188"/>
  <sheetViews>
    <sheetView view="pageBreakPreview" topLeftCell="A30" zoomScaleNormal="120" zoomScaleSheetLayoutView="100" workbookViewId="0">
      <selection activeCell="K22" sqref="K22:X22"/>
    </sheetView>
  </sheetViews>
  <sheetFormatPr defaultRowHeight="16.5"/>
  <cols>
    <col min="1" max="20" width="3.25" style="7" customWidth="1"/>
    <col min="21" max="24" width="6.25" style="7" customWidth="1"/>
    <col min="25" max="30" width="2.5" style="7" customWidth="1"/>
    <col min="31" max="32" width="3.5" customWidth="1"/>
    <col min="33" max="38" width="2.5" customWidth="1"/>
  </cols>
  <sheetData>
    <row r="1" spans="1:39" ht="19.5">
      <c r="A1" s="36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3" t="s">
        <v>0</v>
      </c>
      <c r="Y1" s="53"/>
      <c r="Z1" s="52" t="s">
        <v>1</v>
      </c>
      <c r="AA1" s="50">
        <f>$X5-44889</f>
        <v>1253</v>
      </c>
      <c r="AB1" s="50"/>
      <c r="AC1" s="50"/>
      <c r="AD1" s="49" t="s">
        <v>2</v>
      </c>
    </row>
    <row r="2" spans="1:39" ht="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4"/>
      <c r="V2" s="2"/>
      <c r="W2" s="2"/>
      <c r="X2" s="53"/>
      <c r="Y2" s="53"/>
      <c r="Z2" s="52"/>
      <c r="AA2" s="51"/>
      <c r="AB2" s="51"/>
      <c r="AC2" s="51"/>
      <c r="AD2" s="49"/>
    </row>
    <row r="3" spans="1:39" ht="18.75">
      <c r="A3" s="54" t="s">
        <v>93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9" ht="6.75" customHeight="1"/>
    <row r="5" spans="1:39" s="37" customFormat="1">
      <c r="A5" s="38" t="s">
        <v>3</v>
      </c>
      <c r="B5" s="39"/>
      <c r="C5" s="38" t="s">
        <v>4</v>
      </c>
      <c r="D5" s="39"/>
      <c r="E5" s="46" t="s">
        <v>101</v>
      </c>
      <c r="G5" s="38"/>
      <c r="H5" s="39"/>
      <c r="I5" s="39"/>
      <c r="J5" s="39"/>
      <c r="K5" s="38" t="s">
        <v>5</v>
      </c>
      <c r="L5" s="39"/>
      <c r="M5" s="46" t="s">
        <v>101</v>
      </c>
      <c r="O5" s="38"/>
      <c r="P5" s="39"/>
      <c r="Q5" s="39"/>
      <c r="R5" s="39"/>
      <c r="S5" s="39"/>
      <c r="T5" s="39"/>
      <c r="U5" s="39"/>
      <c r="V5" s="39"/>
      <c r="W5" s="40" t="s">
        <v>6</v>
      </c>
      <c r="X5" s="55">
        <v>46142</v>
      </c>
      <c r="Y5" s="55"/>
      <c r="Z5" s="55"/>
      <c r="AA5" s="55"/>
      <c r="AB5" s="56">
        <f>WEEKDAY(X5)</f>
        <v>5</v>
      </c>
      <c r="AC5" s="56"/>
      <c r="AD5" s="56"/>
    </row>
    <row r="6" spans="1:39" ht="6.75" customHeight="1" thickBot="1">
      <c r="A6" s="2"/>
      <c r="B6" s="2"/>
      <c r="C6" s="8"/>
      <c r="D6" s="8"/>
      <c r="E6" s="9"/>
      <c r="F6" s="9"/>
      <c r="G6" s="9"/>
      <c r="H6" s="9"/>
      <c r="I6" s="2"/>
      <c r="J6" s="2"/>
      <c r="K6" s="2"/>
      <c r="L6" s="8"/>
      <c r="M6" s="9"/>
      <c r="N6" s="9"/>
      <c r="O6" s="2"/>
      <c r="P6" s="2"/>
      <c r="Q6" s="3"/>
      <c r="R6" s="10"/>
      <c r="S6" s="11"/>
      <c r="T6" s="12"/>
      <c r="U6" s="12"/>
      <c r="V6" s="11"/>
      <c r="W6" s="11"/>
      <c r="X6" s="13"/>
      <c r="Y6" s="11"/>
      <c r="Z6" s="11"/>
      <c r="AA6" s="11"/>
      <c r="AB6" s="14"/>
      <c r="AC6" s="14"/>
      <c r="AD6" s="14"/>
    </row>
    <row r="7" spans="1:39" ht="16.149999999999999" customHeight="1">
      <c r="A7" s="57" t="s">
        <v>7</v>
      </c>
      <c r="B7" s="58"/>
      <c r="C7" s="15" t="s">
        <v>8</v>
      </c>
      <c r="D7" s="16"/>
      <c r="E7" s="17"/>
      <c r="F7" s="16"/>
      <c r="G7" s="15" t="s">
        <v>9</v>
      </c>
      <c r="H7" s="16"/>
      <c r="I7" s="16"/>
      <c r="J7" s="16"/>
      <c r="K7" s="15" t="s">
        <v>10</v>
      </c>
      <c r="L7" s="16"/>
      <c r="M7" s="16"/>
      <c r="N7" s="17"/>
      <c r="O7" s="59" t="s">
        <v>11</v>
      </c>
      <c r="P7" s="60"/>
      <c r="Q7" s="59" t="s">
        <v>29</v>
      </c>
      <c r="R7" s="60"/>
      <c r="S7" s="59" t="s">
        <v>28</v>
      </c>
      <c r="T7" s="60"/>
      <c r="U7" s="63" t="s">
        <v>12</v>
      </c>
      <c r="V7" s="64"/>
      <c r="W7" s="64"/>
      <c r="X7" s="58"/>
      <c r="Y7" s="65" t="s">
        <v>39</v>
      </c>
      <c r="Z7" s="66"/>
      <c r="AA7" s="66"/>
      <c r="AB7" s="66"/>
      <c r="AC7" s="66"/>
      <c r="AD7" s="67"/>
    </row>
    <row r="8" spans="1:39">
      <c r="A8" s="85" t="s">
        <v>13</v>
      </c>
      <c r="B8" s="86"/>
      <c r="C8" s="18" t="s">
        <v>14</v>
      </c>
      <c r="D8" s="19"/>
      <c r="E8" s="18" t="s">
        <v>15</v>
      </c>
      <c r="F8" s="19"/>
      <c r="G8" s="18" t="s">
        <v>14</v>
      </c>
      <c r="H8" s="20"/>
      <c r="I8" s="21" t="s">
        <v>15</v>
      </c>
      <c r="J8" s="22"/>
      <c r="K8" s="18" t="s">
        <v>14</v>
      </c>
      <c r="L8" s="19"/>
      <c r="M8" s="18" t="s">
        <v>15</v>
      </c>
      <c r="N8" s="23"/>
      <c r="O8" s="61"/>
      <c r="P8" s="62"/>
      <c r="Q8" s="61" t="s">
        <v>27</v>
      </c>
      <c r="R8" s="62"/>
      <c r="S8" s="61" t="s">
        <v>27</v>
      </c>
      <c r="T8" s="62"/>
      <c r="U8" s="24" t="s">
        <v>13</v>
      </c>
      <c r="V8" s="25"/>
      <c r="W8" s="25"/>
      <c r="X8" s="25"/>
      <c r="Y8" s="68"/>
      <c r="Z8" s="69"/>
      <c r="AA8" s="69"/>
      <c r="AB8" s="69"/>
      <c r="AC8" s="69"/>
      <c r="AD8" s="70"/>
    </row>
    <row r="9" spans="1:39" ht="11.25" customHeight="1">
      <c r="A9" s="89" t="s">
        <v>424</v>
      </c>
      <c r="B9" s="90"/>
      <c r="C9" s="87">
        <v>9</v>
      </c>
      <c r="D9" s="87"/>
      <c r="E9" s="87">
        <v>0</v>
      </c>
      <c r="F9" s="87"/>
      <c r="G9" s="87">
        <v>1</v>
      </c>
      <c r="H9" s="87"/>
      <c r="I9" s="87">
        <v>0</v>
      </c>
      <c r="J9" s="87"/>
      <c r="K9" s="87">
        <v>0</v>
      </c>
      <c r="L9" s="87"/>
      <c r="M9" s="71">
        <v>0</v>
      </c>
      <c r="N9" s="72"/>
      <c r="O9" s="71">
        <v>0</v>
      </c>
      <c r="P9" s="72"/>
      <c r="Q9" s="71">
        <f>SUM(C9,G9,K9)</f>
        <v>10</v>
      </c>
      <c r="R9" s="72"/>
      <c r="S9" s="71">
        <f>SUM(H12:I47)</f>
        <v>82</v>
      </c>
      <c r="T9" s="72"/>
      <c r="U9" s="75" t="s">
        <v>16</v>
      </c>
      <c r="V9" s="76"/>
      <c r="W9" s="76"/>
      <c r="X9" s="77"/>
      <c r="Y9" s="71"/>
      <c r="Z9" s="81"/>
      <c r="AA9" s="81"/>
      <c r="AB9" s="81"/>
      <c r="AC9" s="81"/>
      <c r="AD9" s="82"/>
    </row>
    <row r="10" spans="1:39" ht="11.25" customHeight="1" thickBot="1">
      <c r="A10" s="91"/>
      <c r="B10" s="92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73"/>
      <c r="N10" s="74"/>
      <c r="O10" s="73"/>
      <c r="P10" s="74"/>
      <c r="Q10" s="73"/>
      <c r="R10" s="74"/>
      <c r="S10" s="73"/>
      <c r="T10" s="74"/>
      <c r="U10" s="78"/>
      <c r="V10" s="79"/>
      <c r="W10" s="79"/>
      <c r="X10" s="80"/>
      <c r="Y10" s="73"/>
      <c r="Z10" s="83"/>
      <c r="AA10" s="83"/>
      <c r="AB10" s="83"/>
      <c r="AC10" s="83"/>
      <c r="AD10" s="84"/>
    </row>
    <row r="11" spans="1:39" ht="18" customHeight="1">
      <c r="A11" s="31" t="s">
        <v>17</v>
      </c>
      <c r="B11" s="32"/>
      <c r="C11" s="33"/>
      <c r="D11" s="23"/>
      <c r="E11" s="34" t="s">
        <v>18</v>
      </c>
      <c r="F11" s="25"/>
      <c r="G11" s="33"/>
      <c r="H11" s="34" t="s">
        <v>19</v>
      </c>
      <c r="I11" s="25"/>
      <c r="J11" s="33"/>
      <c r="K11" s="34" t="s">
        <v>20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3"/>
      <c r="Y11" s="34" t="s">
        <v>21</v>
      </c>
      <c r="Z11" s="25"/>
      <c r="AA11" s="25"/>
      <c r="AB11" s="25"/>
      <c r="AC11" s="25"/>
      <c r="AD11" s="35"/>
    </row>
    <row r="12" spans="1:39">
      <c r="A12" s="107"/>
      <c r="B12" s="96" t="s">
        <v>30</v>
      </c>
      <c r="C12" s="97"/>
      <c r="D12" s="98"/>
      <c r="E12" s="96" t="s">
        <v>100</v>
      </c>
      <c r="F12" s="97"/>
      <c r="G12" s="98"/>
      <c r="H12" s="102"/>
      <c r="I12" s="103"/>
      <c r="J12" s="26" t="s">
        <v>22</v>
      </c>
      <c r="K12" s="10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6"/>
      <c r="Y12" s="93"/>
      <c r="Z12" s="94"/>
      <c r="AA12" s="94"/>
      <c r="AB12" s="94"/>
      <c r="AC12" s="94"/>
      <c r="AD12" s="95"/>
    </row>
    <row r="13" spans="1:39">
      <c r="A13" s="107"/>
      <c r="B13" s="96" t="s">
        <v>31</v>
      </c>
      <c r="C13" s="97"/>
      <c r="D13" s="98"/>
      <c r="E13" s="99" t="s">
        <v>41</v>
      </c>
      <c r="F13" s="100"/>
      <c r="G13" s="101"/>
      <c r="H13" s="102"/>
      <c r="I13" s="103"/>
      <c r="J13" s="26" t="s">
        <v>22</v>
      </c>
      <c r="K13" s="104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93"/>
      <c r="Z13" s="94"/>
      <c r="AA13" s="94"/>
      <c r="AB13" s="94"/>
      <c r="AC13" s="94"/>
      <c r="AD13" s="95"/>
    </row>
    <row r="14" spans="1:39">
      <c r="A14" s="107"/>
      <c r="B14" s="96" t="s">
        <v>45</v>
      </c>
      <c r="C14" s="97"/>
      <c r="D14" s="98"/>
      <c r="E14" s="99" t="s">
        <v>46</v>
      </c>
      <c r="F14" s="100"/>
      <c r="G14" s="101"/>
      <c r="H14" s="102"/>
      <c r="I14" s="103"/>
      <c r="J14" s="26" t="s">
        <v>22</v>
      </c>
      <c r="K14" s="104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6"/>
      <c r="Y14" s="93"/>
      <c r="Z14" s="94"/>
      <c r="AA14" s="94"/>
      <c r="AB14" s="94"/>
      <c r="AC14" s="94"/>
      <c r="AD14" s="95"/>
      <c r="AM14" s="41"/>
    </row>
    <row r="15" spans="1:39">
      <c r="A15" s="107"/>
      <c r="B15" s="96" t="s">
        <v>23</v>
      </c>
      <c r="C15" s="97"/>
      <c r="D15" s="98"/>
      <c r="E15" s="99" t="s">
        <v>51</v>
      </c>
      <c r="F15" s="100"/>
      <c r="G15" s="101"/>
      <c r="H15" s="102"/>
      <c r="I15" s="103"/>
      <c r="J15" s="26" t="s">
        <v>22</v>
      </c>
      <c r="K15" s="104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6"/>
      <c r="Y15" s="109"/>
      <c r="Z15" s="110"/>
      <c r="AA15" s="110"/>
      <c r="AB15" s="110"/>
      <c r="AC15" s="110"/>
      <c r="AD15" s="111"/>
    </row>
    <row r="16" spans="1:39">
      <c r="A16" s="108"/>
      <c r="B16" s="96" t="s">
        <v>32</v>
      </c>
      <c r="C16" s="97"/>
      <c r="D16" s="98"/>
      <c r="E16" s="99" t="s">
        <v>56</v>
      </c>
      <c r="F16" s="100"/>
      <c r="G16" s="101"/>
      <c r="H16" s="102"/>
      <c r="I16" s="103"/>
      <c r="J16" s="26" t="s">
        <v>54</v>
      </c>
      <c r="K16" s="104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6"/>
      <c r="Y16" s="109"/>
      <c r="Z16" s="110"/>
      <c r="AA16" s="110"/>
      <c r="AB16" s="110"/>
      <c r="AC16" s="110"/>
      <c r="AD16" s="111"/>
    </row>
    <row r="17" spans="1:30">
      <c r="A17" s="118" t="s">
        <v>66</v>
      </c>
      <c r="B17" s="115" t="s">
        <v>33</v>
      </c>
      <c r="C17" s="116"/>
      <c r="D17" s="117"/>
      <c r="E17" s="115" t="s">
        <v>50</v>
      </c>
      <c r="F17" s="116"/>
      <c r="G17" s="117"/>
      <c r="H17" s="102">
        <v>3</v>
      </c>
      <c r="I17" s="103"/>
      <c r="J17" s="26" t="s">
        <v>54</v>
      </c>
      <c r="K17" s="104" t="s">
        <v>201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6"/>
      <c r="Y17" s="109"/>
      <c r="Z17" s="110"/>
      <c r="AA17" s="110"/>
      <c r="AB17" s="110"/>
      <c r="AC17" s="110"/>
      <c r="AD17" s="111"/>
    </row>
    <row r="18" spans="1:30">
      <c r="A18" s="107"/>
      <c r="B18" s="115" t="s">
        <v>88</v>
      </c>
      <c r="C18" s="116"/>
      <c r="D18" s="117"/>
      <c r="E18" s="115" t="s">
        <v>87</v>
      </c>
      <c r="F18" s="116"/>
      <c r="G18" s="117"/>
      <c r="H18" s="102"/>
      <c r="I18" s="103"/>
      <c r="J18" s="26" t="s">
        <v>54</v>
      </c>
      <c r="K18" s="10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6"/>
      <c r="Y18" s="112"/>
      <c r="Z18" s="113"/>
      <c r="AA18" s="113"/>
      <c r="AB18" s="113"/>
      <c r="AC18" s="113"/>
      <c r="AD18" s="114"/>
    </row>
    <row r="19" spans="1:30">
      <c r="A19" s="107"/>
      <c r="B19" s="115" t="s">
        <v>90</v>
      </c>
      <c r="C19" s="116"/>
      <c r="D19" s="117"/>
      <c r="E19" s="115" t="s">
        <v>89</v>
      </c>
      <c r="F19" s="116"/>
      <c r="G19" s="117"/>
      <c r="H19" s="102">
        <v>1</v>
      </c>
      <c r="I19" s="103"/>
      <c r="J19" s="26" t="s">
        <v>22</v>
      </c>
      <c r="K19" s="104" t="s">
        <v>177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6"/>
      <c r="Y19" s="112"/>
      <c r="Z19" s="113"/>
      <c r="AA19" s="113"/>
      <c r="AB19" s="113"/>
      <c r="AC19" s="113"/>
      <c r="AD19" s="114"/>
    </row>
    <row r="20" spans="1:30">
      <c r="A20" s="107"/>
      <c r="B20" s="115" t="s">
        <v>59</v>
      </c>
      <c r="C20" s="116"/>
      <c r="D20" s="117"/>
      <c r="E20" s="115" t="s">
        <v>86</v>
      </c>
      <c r="F20" s="116"/>
      <c r="G20" s="117"/>
      <c r="H20" s="102">
        <v>5</v>
      </c>
      <c r="I20" s="103"/>
      <c r="J20" s="26" t="s">
        <v>54</v>
      </c>
      <c r="K20" s="104" t="s">
        <v>200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6"/>
      <c r="Y20" s="112"/>
      <c r="Z20" s="113"/>
      <c r="AA20" s="113"/>
      <c r="AB20" s="113"/>
      <c r="AC20" s="113"/>
      <c r="AD20" s="114"/>
    </row>
    <row r="21" spans="1:30">
      <c r="A21" s="107"/>
      <c r="B21" s="115" t="s">
        <v>34</v>
      </c>
      <c r="C21" s="116"/>
      <c r="D21" s="117"/>
      <c r="E21" s="115" t="s">
        <v>52</v>
      </c>
      <c r="F21" s="119"/>
      <c r="G21" s="120"/>
      <c r="H21" s="102"/>
      <c r="I21" s="103"/>
      <c r="J21" s="26" t="s">
        <v>22</v>
      </c>
      <c r="K21" s="10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6"/>
      <c r="Y21" s="121"/>
      <c r="Z21" s="122"/>
      <c r="AA21" s="122"/>
      <c r="AB21" s="122"/>
      <c r="AC21" s="122"/>
      <c r="AD21" s="123"/>
    </row>
    <row r="22" spans="1:30">
      <c r="A22" s="107"/>
      <c r="B22" s="115" t="s">
        <v>71</v>
      </c>
      <c r="C22" s="116"/>
      <c r="D22" s="117"/>
      <c r="E22" s="115" t="s">
        <v>44</v>
      </c>
      <c r="F22" s="119"/>
      <c r="G22" s="120"/>
      <c r="H22" s="102">
        <v>2</v>
      </c>
      <c r="I22" s="103"/>
      <c r="J22" s="26" t="s">
        <v>22</v>
      </c>
      <c r="K22" s="104" t="s">
        <v>176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6"/>
      <c r="Y22" s="112"/>
      <c r="Z22" s="113"/>
      <c r="AA22" s="113"/>
      <c r="AB22" s="113"/>
      <c r="AC22" s="113"/>
      <c r="AD22" s="114"/>
    </row>
    <row r="23" spans="1:30">
      <c r="A23" s="107"/>
      <c r="B23" s="115" t="s">
        <v>72</v>
      </c>
      <c r="C23" s="116"/>
      <c r="D23" s="117"/>
      <c r="E23" s="115" t="s">
        <v>67</v>
      </c>
      <c r="F23" s="119"/>
      <c r="G23" s="120"/>
      <c r="H23" s="102">
        <v>4</v>
      </c>
      <c r="I23" s="103"/>
      <c r="J23" s="26" t="s">
        <v>22</v>
      </c>
      <c r="K23" s="104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6"/>
      <c r="Y23" s="112"/>
      <c r="Z23" s="113"/>
      <c r="AA23" s="113"/>
      <c r="AB23" s="113"/>
      <c r="AC23" s="113"/>
      <c r="AD23" s="114"/>
    </row>
    <row r="24" spans="1:30">
      <c r="A24" s="107"/>
      <c r="B24" s="115" t="s">
        <v>38</v>
      </c>
      <c r="C24" s="116"/>
      <c r="D24" s="117"/>
      <c r="E24" s="115" t="s">
        <v>44</v>
      </c>
      <c r="F24" s="116"/>
      <c r="G24" s="117"/>
      <c r="H24" s="102"/>
      <c r="I24" s="103"/>
      <c r="J24" s="26" t="s">
        <v>22</v>
      </c>
      <c r="K24" s="104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6"/>
      <c r="Y24" s="112"/>
      <c r="Z24" s="113"/>
      <c r="AA24" s="113"/>
      <c r="AB24" s="113"/>
      <c r="AC24" s="113"/>
      <c r="AD24" s="114"/>
    </row>
    <row r="25" spans="1:30">
      <c r="A25" s="107"/>
      <c r="B25" s="115" t="s">
        <v>33</v>
      </c>
      <c r="C25" s="116"/>
      <c r="D25" s="117"/>
      <c r="E25" s="115" t="s">
        <v>55</v>
      </c>
      <c r="F25" s="116"/>
      <c r="G25" s="117"/>
      <c r="H25" s="102"/>
      <c r="I25" s="103"/>
      <c r="J25" s="26" t="s">
        <v>22</v>
      </c>
      <c r="K25" s="10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6"/>
      <c r="Y25" s="112"/>
      <c r="Z25" s="113"/>
      <c r="AA25" s="113"/>
      <c r="AB25" s="113"/>
      <c r="AC25" s="113"/>
      <c r="AD25" s="114"/>
    </row>
    <row r="26" spans="1:30">
      <c r="A26" s="118" t="s">
        <v>35</v>
      </c>
      <c r="B26" s="115" t="s">
        <v>48</v>
      </c>
      <c r="C26" s="116"/>
      <c r="D26" s="117"/>
      <c r="E26" s="115" t="s">
        <v>49</v>
      </c>
      <c r="F26" s="116"/>
      <c r="G26" s="117"/>
      <c r="H26" s="102"/>
      <c r="I26" s="103"/>
      <c r="J26" s="26" t="s">
        <v>22</v>
      </c>
      <c r="K26" s="10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6"/>
      <c r="Y26" s="112"/>
      <c r="Z26" s="113"/>
      <c r="AA26" s="113"/>
      <c r="AB26" s="113"/>
      <c r="AC26" s="113"/>
      <c r="AD26" s="114"/>
    </row>
    <row r="27" spans="1:30">
      <c r="A27" s="107"/>
      <c r="B27" s="115" t="s">
        <v>57</v>
      </c>
      <c r="C27" s="116"/>
      <c r="D27" s="117"/>
      <c r="E27" s="115" t="s">
        <v>58</v>
      </c>
      <c r="F27" s="116"/>
      <c r="G27" s="117"/>
      <c r="H27" s="102">
        <v>4</v>
      </c>
      <c r="I27" s="103"/>
      <c r="J27" s="26" t="s">
        <v>22</v>
      </c>
      <c r="K27" s="104" t="s">
        <v>199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6"/>
      <c r="Y27" s="112"/>
      <c r="Z27" s="113"/>
      <c r="AA27" s="113"/>
      <c r="AB27" s="113"/>
      <c r="AC27" s="113"/>
      <c r="AD27" s="114"/>
    </row>
    <row r="28" spans="1:30">
      <c r="A28" s="107"/>
      <c r="B28" s="115" t="s">
        <v>194</v>
      </c>
      <c r="C28" s="116"/>
      <c r="D28" s="117"/>
      <c r="E28" s="104" t="s">
        <v>63</v>
      </c>
      <c r="F28" s="116"/>
      <c r="G28" s="117"/>
      <c r="H28" s="102">
        <v>3</v>
      </c>
      <c r="I28" s="103"/>
      <c r="J28" s="26" t="s">
        <v>22</v>
      </c>
      <c r="K28" s="104" t="s">
        <v>198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6"/>
      <c r="Y28" s="112"/>
      <c r="Z28" s="113"/>
      <c r="AA28" s="113"/>
      <c r="AB28" s="113"/>
      <c r="AC28" s="113"/>
      <c r="AD28" s="114"/>
    </row>
    <row r="29" spans="1:30">
      <c r="A29" s="107"/>
      <c r="B29" s="115" t="s">
        <v>193</v>
      </c>
      <c r="C29" s="116"/>
      <c r="D29" s="117"/>
      <c r="E29" s="115" t="s">
        <v>80</v>
      </c>
      <c r="F29" s="116"/>
      <c r="G29" s="117"/>
      <c r="H29" s="102">
        <v>4</v>
      </c>
      <c r="I29" s="103"/>
      <c r="J29" s="26" t="s">
        <v>22</v>
      </c>
      <c r="K29" s="104" t="s">
        <v>197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6"/>
      <c r="Y29" s="112"/>
      <c r="Z29" s="113"/>
      <c r="AA29" s="113"/>
      <c r="AB29" s="113"/>
      <c r="AC29" s="113"/>
      <c r="AD29" s="114"/>
    </row>
    <row r="30" spans="1:30" ht="32.25" customHeight="1">
      <c r="A30" s="107"/>
      <c r="B30" s="115" t="s">
        <v>192</v>
      </c>
      <c r="C30" s="116"/>
      <c r="D30" s="117"/>
      <c r="E30" s="115" t="s">
        <v>91</v>
      </c>
      <c r="F30" s="116"/>
      <c r="G30" s="117"/>
      <c r="H30" s="102">
        <v>11</v>
      </c>
      <c r="I30" s="103"/>
      <c r="J30" s="26" t="s">
        <v>22</v>
      </c>
      <c r="K30" s="104" t="s">
        <v>196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6"/>
      <c r="Y30" s="112"/>
      <c r="Z30" s="113"/>
      <c r="AA30" s="113"/>
      <c r="AB30" s="113"/>
      <c r="AC30" s="113"/>
      <c r="AD30" s="114"/>
    </row>
    <row r="31" spans="1:30">
      <c r="A31" s="107"/>
      <c r="B31" s="115" t="s">
        <v>204</v>
      </c>
      <c r="C31" s="116"/>
      <c r="D31" s="117"/>
      <c r="E31" s="125" t="s">
        <v>105</v>
      </c>
      <c r="F31" s="105"/>
      <c r="G31" s="106"/>
      <c r="H31" s="102">
        <v>1</v>
      </c>
      <c r="I31" s="103"/>
      <c r="J31" s="26" t="s">
        <v>54</v>
      </c>
      <c r="K31" s="104" t="s">
        <v>175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6"/>
      <c r="Y31" s="112"/>
      <c r="Z31" s="113"/>
      <c r="AA31" s="113"/>
      <c r="AB31" s="113"/>
      <c r="AC31" s="113"/>
      <c r="AD31" s="114"/>
    </row>
    <row r="32" spans="1:30">
      <c r="A32" s="107"/>
      <c r="B32" s="115" t="s">
        <v>191</v>
      </c>
      <c r="C32" s="116"/>
      <c r="D32" s="117"/>
      <c r="E32" s="125" t="s">
        <v>135</v>
      </c>
      <c r="F32" s="105"/>
      <c r="G32" s="106"/>
      <c r="H32" s="102">
        <v>2</v>
      </c>
      <c r="I32" s="103"/>
      <c r="J32" s="26" t="s">
        <v>54</v>
      </c>
      <c r="K32" s="104" t="s">
        <v>178</v>
      </c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6"/>
      <c r="Y32" s="112"/>
      <c r="Z32" s="113"/>
      <c r="AA32" s="113"/>
      <c r="AB32" s="113"/>
      <c r="AC32" s="113"/>
      <c r="AD32" s="114"/>
    </row>
    <row r="33" spans="1:30">
      <c r="A33" s="107"/>
      <c r="B33" s="115" t="s">
        <v>190</v>
      </c>
      <c r="C33" s="116"/>
      <c r="D33" s="117"/>
      <c r="E33" s="115" t="s">
        <v>76</v>
      </c>
      <c r="F33" s="116"/>
      <c r="G33" s="117"/>
      <c r="H33" s="102"/>
      <c r="I33" s="103"/>
      <c r="J33" s="26" t="s">
        <v>22</v>
      </c>
      <c r="K33" s="10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6"/>
      <c r="Y33" s="112"/>
      <c r="Z33" s="113"/>
      <c r="AA33" s="113"/>
      <c r="AB33" s="113"/>
      <c r="AC33" s="113"/>
      <c r="AD33" s="114"/>
    </row>
    <row r="34" spans="1:30">
      <c r="A34" s="107"/>
      <c r="B34" s="43" t="s">
        <v>61</v>
      </c>
      <c r="C34" s="44"/>
      <c r="D34" s="45"/>
      <c r="E34" s="115" t="s">
        <v>62</v>
      </c>
      <c r="F34" s="116"/>
      <c r="G34" s="117"/>
      <c r="H34" s="102"/>
      <c r="I34" s="103"/>
      <c r="J34" s="26" t="s">
        <v>22</v>
      </c>
      <c r="K34" s="10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6"/>
      <c r="Y34" s="112"/>
      <c r="Z34" s="113"/>
      <c r="AA34" s="113"/>
      <c r="AB34" s="113"/>
      <c r="AC34" s="113"/>
      <c r="AD34" s="114"/>
    </row>
    <row r="35" spans="1:30">
      <c r="A35" s="107"/>
      <c r="B35" s="115" t="s">
        <v>75</v>
      </c>
      <c r="C35" s="116"/>
      <c r="D35" s="117"/>
      <c r="E35" s="115" t="s">
        <v>47</v>
      </c>
      <c r="F35" s="116"/>
      <c r="G35" s="117"/>
      <c r="H35" s="102"/>
      <c r="I35" s="103"/>
      <c r="J35" s="26" t="s">
        <v>22</v>
      </c>
      <c r="K35" s="10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6"/>
      <c r="Y35" s="112"/>
      <c r="Z35" s="113"/>
      <c r="AA35" s="113"/>
      <c r="AB35" s="113"/>
      <c r="AC35" s="113"/>
      <c r="AD35" s="114"/>
    </row>
    <row r="36" spans="1:30">
      <c r="A36" s="107"/>
      <c r="B36" s="115" t="s">
        <v>36</v>
      </c>
      <c r="C36" s="116"/>
      <c r="D36" s="117"/>
      <c r="E36" s="115" t="s">
        <v>79</v>
      </c>
      <c r="F36" s="116"/>
      <c r="G36" s="117"/>
      <c r="H36" s="102">
        <v>1</v>
      </c>
      <c r="I36" s="103"/>
      <c r="J36" s="26" t="s">
        <v>54</v>
      </c>
      <c r="K36" s="104" t="s">
        <v>174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6"/>
      <c r="Y36" s="112"/>
      <c r="Z36" s="113"/>
      <c r="AA36" s="113"/>
      <c r="AB36" s="113"/>
      <c r="AC36" s="113"/>
      <c r="AD36" s="114"/>
    </row>
    <row r="37" spans="1:30">
      <c r="A37" s="107"/>
      <c r="B37" s="115" t="s">
        <v>85</v>
      </c>
      <c r="C37" s="116"/>
      <c r="D37" s="117"/>
      <c r="E37" s="115" t="s">
        <v>84</v>
      </c>
      <c r="F37" s="116"/>
      <c r="G37" s="117"/>
      <c r="H37" s="102"/>
      <c r="I37" s="103"/>
      <c r="J37" s="26" t="s">
        <v>54</v>
      </c>
      <c r="K37" s="104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6"/>
      <c r="Y37" s="112"/>
      <c r="Z37" s="113"/>
      <c r="AA37" s="113"/>
      <c r="AB37" s="113"/>
      <c r="AC37" s="113"/>
      <c r="AD37" s="114"/>
    </row>
    <row r="38" spans="1:30">
      <c r="A38" s="107"/>
      <c r="B38" s="115" t="s">
        <v>37</v>
      </c>
      <c r="C38" s="116"/>
      <c r="D38" s="117"/>
      <c r="E38" s="115" t="s">
        <v>60</v>
      </c>
      <c r="F38" s="116"/>
      <c r="G38" s="117"/>
      <c r="H38" s="102"/>
      <c r="I38" s="103"/>
      <c r="J38" s="26" t="s">
        <v>54</v>
      </c>
      <c r="K38" s="104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6"/>
      <c r="Y38" s="112"/>
      <c r="Z38" s="113"/>
      <c r="AA38" s="113"/>
      <c r="AB38" s="113"/>
      <c r="AC38" s="113"/>
      <c r="AD38" s="114"/>
    </row>
    <row r="39" spans="1:30" ht="41.25" customHeight="1">
      <c r="A39" s="107"/>
      <c r="B39" s="115" t="s">
        <v>81</v>
      </c>
      <c r="C39" s="116"/>
      <c r="D39" s="117"/>
      <c r="E39" s="115" t="s">
        <v>82</v>
      </c>
      <c r="F39" s="116"/>
      <c r="G39" s="117"/>
      <c r="H39" s="102">
        <v>11</v>
      </c>
      <c r="I39" s="103"/>
      <c r="J39" s="26" t="s">
        <v>22</v>
      </c>
      <c r="K39" s="104" t="s">
        <v>195</v>
      </c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6"/>
      <c r="Y39" s="112"/>
      <c r="Z39" s="113"/>
      <c r="AA39" s="113"/>
      <c r="AB39" s="113"/>
      <c r="AC39" s="113"/>
      <c r="AD39" s="114"/>
    </row>
    <row r="40" spans="1:30" ht="30" customHeight="1">
      <c r="A40" s="107"/>
      <c r="B40" s="115" t="s">
        <v>202</v>
      </c>
      <c r="C40" s="116"/>
      <c r="D40" s="117"/>
      <c r="E40" s="115" t="s">
        <v>94</v>
      </c>
      <c r="F40" s="116"/>
      <c r="G40" s="117"/>
      <c r="H40" s="102">
        <v>9</v>
      </c>
      <c r="I40" s="103"/>
      <c r="J40" s="26" t="s">
        <v>22</v>
      </c>
      <c r="K40" s="104" t="s">
        <v>185</v>
      </c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6"/>
      <c r="Y40" s="112"/>
      <c r="Z40" s="113"/>
      <c r="AA40" s="113"/>
      <c r="AB40" s="113"/>
      <c r="AC40" s="113"/>
      <c r="AD40" s="114"/>
    </row>
    <row r="41" spans="1:30">
      <c r="A41" s="107"/>
      <c r="B41" s="115" t="s">
        <v>186</v>
      </c>
      <c r="C41" s="116"/>
      <c r="D41" s="117"/>
      <c r="E41" s="115" t="s">
        <v>96</v>
      </c>
      <c r="F41" s="116"/>
      <c r="G41" s="117"/>
      <c r="H41" s="102">
        <v>3</v>
      </c>
      <c r="I41" s="103"/>
      <c r="J41" s="26" t="s">
        <v>22</v>
      </c>
      <c r="K41" s="104" t="s">
        <v>181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6"/>
      <c r="Y41" s="112"/>
      <c r="Z41" s="113"/>
      <c r="AA41" s="113"/>
      <c r="AB41" s="113"/>
      <c r="AC41" s="113"/>
      <c r="AD41" s="114"/>
    </row>
    <row r="42" spans="1:30">
      <c r="A42" s="107"/>
      <c r="B42" s="104" t="s">
        <v>187</v>
      </c>
      <c r="C42" s="105"/>
      <c r="D42" s="106"/>
      <c r="E42" s="104" t="s">
        <v>98</v>
      </c>
      <c r="F42" s="105"/>
      <c r="G42" s="106"/>
      <c r="H42" s="102">
        <v>3</v>
      </c>
      <c r="I42" s="103"/>
      <c r="J42" s="26" t="s">
        <v>22</v>
      </c>
      <c r="K42" s="104" t="s">
        <v>184</v>
      </c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12"/>
      <c r="Z42" s="113"/>
      <c r="AA42" s="113"/>
      <c r="AB42" s="113"/>
      <c r="AC42" s="113"/>
      <c r="AD42" s="114"/>
    </row>
    <row r="43" spans="1:30">
      <c r="A43" s="107"/>
      <c r="B43" s="115" t="s">
        <v>188</v>
      </c>
      <c r="C43" s="116"/>
      <c r="D43" s="117"/>
      <c r="E43" s="104" t="s">
        <v>69</v>
      </c>
      <c r="F43" s="105"/>
      <c r="G43" s="106"/>
      <c r="H43" s="102"/>
      <c r="I43" s="103"/>
      <c r="J43" s="26" t="s">
        <v>22</v>
      </c>
      <c r="K43" s="104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6"/>
      <c r="Y43" s="112"/>
      <c r="Z43" s="113"/>
      <c r="AA43" s="113"/>
      <c r="AB43" s="113"/>
      <c r="AC43" s="113"/>
      <c r="AD43" s="114"/>
    </row>
    <row r="44" spans="1:30" ht="28.5" customHeight="1">
      <c r="A44" s="107"/>
      <c r="B44" s="115" t="s">
        <v>188</v>
      </c>
      <c r="C44" s="116"/>
      <c r="D44" s="117"/>
      <c r="E44" s="104" t="s">
        <v>68</v>
      </c>
      <c r="F44" s="105"/>
      <c r="G44" s="106"/>
      <c r="H44" s="102">
        <v>10</v>
      </c>
      <c r="I44" s="103"/>
      <c r="J44" s="26" t="s">
        <v>54</v>
      </c>
      <c r="K44" s="104" t="s">
        <v>403</v>
      </c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6"/>
      <c r="Y44" s="112"/>
      <c r="Z44" s="113"/>
      <c r="AA44" s="113"/>
      <c r="AB44" s="113"/>
      <c r="AC44" s="113"/>
      <c r="AD44" s="114"/>
    </row>
    <row r="45" spans="1:30">
      <c r="A45" s="107"/>
      <c r="B45" s="115" t="s">
        <v>188</v>
      </c>
      <c r="C45" s="116"/>
      <c r="D45" s="117"/>
      <c r="E45" s="115" t="s">
        <v>180</v>
      </c>
      <c r="F45" s="116"/>
      <c r="G45" s="117"/>
      <c r="H45" s="102">
        <v>2</v>
      </c>
      <c r="I45" s="103"/>
      <c r="J45" s="26" t="s">
        <v>22</v>
      </c>
      <c r="K45" s="104" t="s">
        <v>183</v>
      </c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6"/>
      <c r="Y45" s="112"/>
      <c r="Z45" s="113"/>
      <c r="AA45" s="113"/>
      <c r="AB45" s="113"/>
      <c r="AC45" s="113"/>
      <c r="AD45" s="114"/>
    </row>
    <row r="46" spans="1:30">
      <c r="A46" s="107"/>
      <c r="B46" s="115" t="s">
        <v>189</v>
      </c>
      <c r="C46" s="116"/>
      <c r="D46" s="117"/>
      <c r="E46" s="115" t="s">
        <v>179</v>
      </c>
      <c r="F46" s="116"/>
      <c r="G46" s="117"/>
      <c r="H46" s="102">
        <v>3</v>
      </c>
      <c r="I46" s="103"/>
      <c r="J46" s="26" t="s">
        <v>22</v>
      </c>
      <c r="K46" s="104" t="s">
        <v>182</v>
      </c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6"/>
      <c r="Y46" s="112"/>
      <c r="Z46" s="113"/>
      <c r="AA46" s="113"/>
      <c r="AB46" s="113"/>
      <c r="AC46" s="113"/>
      <c r="AD46" s="114"/>
    </row>
    <row r="47" spans="1:30" s="41" customFormat="1" ht="116.25" customHeight="1" thickBot="1">
      <c r="A47" s="124"/>
      <c r="B47" s="135" t="s">
        <v>189</v>
      </c>
      <c r="C47" s="136"/>
      <c r="D47" s="137"/>
      <c r="E47" s="138" t="s">
        <v>74</v>
      </c>
      <c r="F47" s="139"/>
      <c r="G47" s="140"/>
      <c r="H47" s="141"/>
      <c r="I47" s="142"/>
      <c r="J47" s="42" t="s">
        <v>22</v>
      </c>
      <c r="K47" s="153" t="s">
        <v>172</v>
      </c>
      <c r="L47" s="154"/>
      <c r="M47" s="154"/>
      <c r="N47" s="154"/>
      <c r="O47" s="154"/>
      <c r="P47" s="154"/>
      <c r="Q47" s="154"/>
      <c r="R47" s="154"/>
      <c r="S47" s="154"/>
      <c r="T47" s="154" t="s">
        <v>173</v>
      </c>
      <c r="U47" s="154"/>
      <c r="V47" s="154"/>
      <c r="W47" s="154"/>
      <c r="X47" s="155"/>
      <c r="Y47" s="131"/>
      <c r="Z47" s="132"/>
      <c r="AA47" s="132"/>
      <c r="AB47" s="132"/>
      <c r="AC47" s="132"/>
      <c r="AD47" s="133"/>
    </row>
    <row r="48" spans="1:30" ht="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7"/>
      <c r="Z48" s="27"/>
      <c r="AA48" s="27"/>
      <c r="AB48" s="27"/>
      <c r="AC48" s="27"/>
      <c r="AD48" s="27"/>
    </row>
    <row r="49" spans="1:30" ht="18" customHeight="1">
      <c r="C49" s="5" t="s">
        <v>24</v>
      </c>
      <c r="D49" s="28" t="s">
        <v>102</v>
      </c>
      <c r="E49" s="29"/>
      <c r="F49" s="134">
        <f>$X5</f>
        <v>46142</v>
      </c>
      <c r="G49" s="134"/>
      <c r="H49" s="134"/>
      <c r="I49" s="30"/>
      <c r="K49" s="5" t="s">
        <v>70</v>
      </c>
      <c r="L49" s="28" t="s">
        <v>103</v>
      </c>
      <c r="M49" s="29"/>
      <c r="N49" s="134">
        <f>$X5</f>
        <v>46142</v>
      </c>
      <c r="O49" s="134"/>
      <c r="P49" s="134"/>
      <c r="R49" s="6" t="s">
        <v>394</v>
      </c>
      <c r="S49" s="6"/>
      <c r="T49" s="6"/>
      <c r="U49" s="28" t="s">
        <v>395</v>
      </c>
      <c r="W49" s="5" t="s">
        <v>40</v>
      </c>
      <c r="X49" s="28" t="s">
        <v>53</v>
      </c>
      <c r="Y49" s="48"/>
      <c r="AD49" s="2"/>
    </row>
    <row r="50" spans="1:30" ht="10.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.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.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0.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0.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0.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0.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0.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0.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0.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0.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0.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0.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0.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0.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0.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0.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0.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0.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0.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0.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0.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0.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0.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0.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0.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0.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0.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0.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0.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0.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0.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0.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0.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0.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0.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0.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0.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0.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0.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</sheetData>
  <mergeCells count="213">
    <mergeCell ref="B44:D44"/>
    <mergeCell ref="E44:G44"/>
    <mergeCell ref="H44:I44"/>
    <mergeCell ref="K44:X44"/>
    <mergeCell ref="Y44:AD44"/>
    <mergeCell ref="Y47:AD47"/>
    <mergeCell ref="F49:H49"/>
    <mergeCell ref="B46:D46"/>
    <mergeCell ref="E46:G46"/>
    <mergeCell ref="H46:I46"/>
    <mergeCell ref="K46:X46"/>
    <mergeCell ref="Y46:AD46"/>
    <mergeCell ref="B45:D45"/>
    <mergeCell ref="E45:G45"/>
    <mergeCell ref="H45:I45"/>
    <mergeCell ref="K45:X45"/>
    <mergeCell ref="Y45:AD45"/>
    <mergeCell ref="B47:D47"/>
    <mergeCell ref="E47:G47"/>
    <mergeCell ref="H47:I47"/>
    <mergeCell ref="K47:S47"/>
    <mergeCell ref="T47:X47"/>
    <mergeCell ref="N49:P49"/>
    <mergeCell ref="B42:D42"/>
    <mergeCell ref="E42:G42"/>
    <mergeCell ref="H42:I42"/>
    <mergeCell ref="K42:X42"/>
    <mergeCell ref="Y42:AD42"/>
    <mergeCell ref="B43:D43"/>
    <mergeCell ref="E43:G43"/>
    <mergeCell ref="H43:I43"/>
    <mergeCell ref="K43:X43"/>
    <mergeCell ref="Y43:AD43"/>
    <mergeCell ref="B40:D40"/>
    <mergeCell ref="E40:G40"/>
    <mergeCell ref="H40:I40"/>
    <mergeCell ref="K40:X40"/>
    <mergeCell ref="Y40:AD40"/>
    <mergeCell ref="B41:D41"/>
    <mergeCell ref="E41:G41"/>
    <mergeCell ref="H41:I41"/>
    <mergeCell ref="K41:X41"/>
    <mergeCell ref="Y41:AD41"/>
    <mergeCell ref="B38:D38"/>
    <mergeCell ref="E38:G38"/>
    <mergeCell ref="H38:I38"/>
    <mergeCell ref="K38:X38"/>
    <mergeCell ref="Y38:AD38"/>
    <mergeCell ref="B39:D39"/>
    <mergeCell ref="E39:G39"/>
    <mergeCell ref="H39:I39"/>
    <mergeCell ref="K39:X39"/>
    <mergeCell ref="Y39:AD39"/>
    <mergeCell ref="B36:D36"/>
    <mergeCell ref="E36:G36"/>
    <mergeCell ref="H36:I36"/>
    <mergeCell ref="K36:X36"/>
    <mergeCell ref="Y36:AD36"/>
    <mergeCell ref="B37:D37"/>
    <mergeCell ref="E37:G37"/>
    <mergeCell ref="H37:I37"/>
    <mergeCell ref="K37:X37"/>
    <mergeCell ref="Y37:AD37"/>
    <mergeCell ref="E34:G34"/>
    <mergeCell ref="H34:I34"/>
    <mergeCell ref="K34:X34"/>
    <mergeCell ref="Y34:AD34"/>
    <mergeCell ref="B35:D35"/>
    <mergeCell ref="E35:G35"/>
    <mergeCell ref="H35:I35"/>
    <mergeCell ref="K35:X35"/>
    <mergeCell ref="Y35:AD35"/>
    <mergeCell ref="Y31:AD31"/>
    <mergeCell ref="B32:D32"/>
    <mergeCell ref="E32:G32"/>
    <mergeCell ref="H32:I32"/>
    <mergeCell ref="K32:X32"/>
    <mergeCell ref="Y32:AD32"/>
    <mergeCell ref="B33:D33"/>
    <mergeCell ref="E33:G33"/>
    <mergeCell ref="H33:I33"/>
    <mergeCell ref="K33:X33"/>
    <mergeCell ref="Y33:AD33"/>
    <mergeCell ref="A26:A47"/>
    <mergeCell ref="B26:D26"/>
    <mergeCell ref="E26:G26"/>
    <mergeCell ref="H26:I26"/>
    <mergeCell ref="K26:X26"/>
    <mergeCell ref="Y26:AD26"/>
    <mergeCell ref="B27:D27"/>
    <mergeCell ref="E27:G27"/>
    <mergeCell ref="H27:I27"/>
    <mergeCell ref="K27:X27"/>
    <mergeCell ref="B29:D29"/>
    <mergeCell ref="E29:G29"/>
    <mergeCell ref="H29:I29"/>
    <mergeCell ref="K29:X29"/>
    <mergeCell ref="Y29:AD29"/>
    <mergeCell ref="B30:D30"/>
    <mergeCell ref="E30:G30"/>
    <mergeCell ref="H30:I30"/>
    <mergeCell ref="K30:X30"/>
    <mergeCell ref="Y30:AD30"/>
    <mergeCell ref="B31:D31"/>
    <mergeCell ref="E31:G31"/>
    <mergeCell ref="H31:I31"/>
    <mergeCell ref="K31:X31"/>
    <mergeCell ref="B25:D25"/>
    <mergeCell ref="E25:G25"/>
    <mergeCell ref="H25:I25"/>
    <mergeCell ref="K25:X25"/>
    <mergeCell ref="Y25:AD25"/>
    <mergeCell ref="Y27:AD27"/>
    <mergeCell ref="B28:D28"/>
    <mergeCell ref="E28:G28"/>
    <mergeCell ref="H28:I28"/>
    <mergeCell ref="K28:X28"/>
    <mergeCell ref="Y28:AD28"/>
    <mergeCell ref="B23:D23"/>
    <mergeCell ref="E23:G23"/>
    <mergeCell ref="H23:I23"/>
    <mergeCell ref="K23:X23"/>
    <mergeCell ref="Y23:AD23"/>
    <mergeCell ref="B24:D24"/>
    <mergeCell ref="E24:G24"/>
    <mergeCell ref="H24:I24"/>
    <mergeCell ref="K24:X24"/>
    <mergeCell ref="Y24:AD24"/>
    <mergeCell ref="E21:G21"/>
    <mergeCell ref="H21:I21"/>
    <mergeCell ref="K21:X21"/>
    <mergeCell ref="Y21:AD21"/>
    <mergeCell ref="B22:D22"/>
    <mergeCell ref="E22:G22"/>
    <mergeCell ref="H22:I22"/>
    <mergeCell ref="K22:X22"/>
    <mergeCell ref="Y22:AD22"/>
    <mergeCell ref="K16:X16"/>
    <mergeCell ref="Y16:AD16"/>
    <mergeCell ref="Y18:AD18"/>
    <mergeCell ref="B19:D19"/>
    <mergeCell ref="E19:G19"/>
    <mergeCell ref="H19:I19"/>
    <mergeCell ref="K19:X19"/>
    <mergeCell ref="Y19:AD19"/>
    <mergeCell ref="A17:A25"/>
    <mergeCell ref="B17:D17"/>
    <mergeCell ref="E17:G17"/>
    <mergeCell ref="H17:I17"/>
    <mergeCell ref="K17:X17"/>
    <mergeCell ref="Y17:AD17"/>
    <mergeCell ref="B18:D18"/>
    <mergeCell ref="E18:G18"/>
    <mergeCell ref="H18:I18"/>
    <mergeCell ref="K18:X18"/>
    <mergeCell ref="B20:D20"/>
    <mergeCell ref="E20:G20"/>
    <mergeCell ref="H20:I20"/>
    <mergeCell ref="K20:X20"/>
    <mergeCell ref="Y20:AD20"/>
    <mergeCell ref="B21:D21"/>
    <mergeCell ref="Y13:AD13"/>
    <mergeCell ref="B14:D14"/>
    <mergeCell ref="E14:G14"/>
    <mergeCell ref="H14:I14"/>
    <mergeCell ref="K14:X14"/>
    <mergeCell ref="Y14:AD14"/>
    <mergeCell ref="A12:A16"/>
    <mergeCell ref="B12:D12"/>
    <mergeCell ref="E12:G12"/>
    <mergeCell ref="H12:I12"/>
    <mergeCell ref="K12:X12"/>
    <mergeCell ref="Y12:AD12"/>
    <mergeCell ref="B13:D13"/>
    <mergeCell ref="E13:G13"/>
    <mergeCell ref="H13:I13"/>
    <mergeCell ref="K13:X13"/>
    <mergeCell ref="B15:D15"/>
    <mergeCell ref="E15:G15"/>
    <mergeCell ref="H15:I15"/>
    <mergeCell ref="K15:X15"/>
    <mergeCell ref="Y15:AD15"/>
    <mergeCell ref="B16:D16"/>
    <mergeCell ref="E16:G16"/>
    <mergeCell ref="H16:I16"/>
    <mergeCell ref="O9:P10"/>
    <mergeCell ref="Q9:R10"/>
    <mergeCell ref="S9:T10"/>
    <mergeCell ref="U9:X10"/>
    <mergeCell ref="Y9:AD10"/>
    <mergeCell ref="A8:B8"/>
    <mergeCell ref="Q8:R8"/>
    <mergeCell ref="S8:T8"/>
    <mergeCell ref="C9:D10"/>
    <mergeCell ref="E9:F10"/>
    <mergeCell ref="G9:H10"/>
    <mergeCell ref="I9:J10"/>
    <mergeCell ref="K9:L10"/>
    <mergeCell ref="M9:N10"/>
    <mergeCell ref="A9:B10"/>
    <mergeCell ref="AD1:AD2"/>
    <mergeCell ref="AA1:AC2"/>
    <mergeCell ref="Z1:Z2"/>
    <mergeCell ref="X1:Y2"/>
    <mergeCell ref="A3:AD3"/>
    <mergeCell ref="X5:AA5"/>
    <mergeCell ref="AB5:AD5"/>
    <mergeCell ref="A7:B7"/>
    <mergeCell ref="O7:P8"/>
    <mergeCell ref="Q7:R7"/>
    <mergeCell ref="S7:T7"/>
    <mergeCell ref="U7:X7"/>
    <mergeCell ref="Y7:AD8"/>
  </mergeCells>
  <phoneticPr fontId="1" type="noConversion"/>
  <printOptions horizontalCentered="1"/>
  <pageMargins left="0.39370078740157483" right="0.39370078740157483" top="0.39370078740157483" bottom="0.19685039370078741" header="0.11811023622047245" footer="0.11811023622047245"/>
  <pageSetup paperSize="9" scale="9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Cheung Wai Yee</dc:creator>
  <cp:lastModifiedBy>Liu Shiyi</cp:lastModifiedBy>
  <cp:lastPrinted>2026-05-07T10:19:04Z</cp:lastPrinted>
  <dcterms:created xsi:type="dcterms:W3CDTF">2020-01-15T02:07:57Z</dcterms:created>
  <dcterms:modified xsi:type="dcterms:W3CDTF">2026-05-12T06:29:46Z</dcterms:modified>
</cp:coreProperties>
</file>